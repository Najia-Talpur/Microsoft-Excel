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24226"/>
  <mc:AlternateContent xmlns:mc="http://schemas.openxmlformats.org/markup-compatibility/2006">
    <mc:Choice Requires="x15">
      <x15ac:absPath xmlns:x15ac="http://schemas.microsoft.com/office/spreadsheetml/2010/11/ac" url="E:\Programming\Excel\Projects\Project 1 - Sales Data\"/>
    </mc:Choice>
  </mc:AlternateContent>
  <xr:revisionPtr revIDLastSave="0" documentId="13_ncr:1_{3C814F0F-0A7A-48F9-881E-297BE3F31224}" xr6:coauthVersionLast="47" xr6:coauthVersionMax="47" xr10:uidLastSave="{00000000-0000-0000-0000-000000000000}"/>
  <bookViews>
    <workbookView xWindow="-108" yWindow="-108" windowWidth="23256" windowHeight="12576" activeTab="2" xr2:uid="{00000000-000D-0000-FFFF-FFFF00000000}"/>
  </bookViews>
  <sheets>
    <sheet name="Raw Data" sheetId="1" r:id="rId1"/>
    <sheet name="Sheet2" sheetId="2" r:id="rId2"/>
    <sheet name="Dashboard" sheetId="4" r:id="rId3"/>
  </sheets>
  <definedNames>
    <definedName name="Slicer_REGION">#N/A</definedName>
  </definedNames>
  <calcPr calcId="18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2" l="1"/>
  <c r="K2" i="2" s="1"/>
  <c r="L2" i="2" s="1"/>
  <c r="K6" i="2"/>
  <c r="L6" i="2" s="1"/>
  <c r="K22" i="2"/>
  <c r="L22" i="2" s="1"/>
  <c r="I3" i="2"/>
  <c r="K3" i="2" s="1"/>
  <c r="L3" i="2" s="1"/>
  <c r="I4" i="2"/>
  <c r="M4" i="2" s="1"/>
  <c r="I5" i="2"/>
  <c r="M5" i="2" s="1"/>
  <c r="I6" i="2"/>
  <c r="M6" i="2" s="1"/>
  <c r="I7" i="2"/>
  <c r="K7" i="2" s="1"/>
  <c r="L7" i="2" s="1"/>
  <c r="I8" i="2"/>
  <c r="K8" i="2" s="1"/>
  <c r="L8" i="2" s="1"/>
  <c r="I9" i="2"/>
  <c r="M9" i="2" s="1"/>
  <c r="I10" i="2"/>
  <c r="M10" i="2" s="1"/>
  <c r="I11" i="2"/>
  <c r="K11" i="2" s="1"/>
  <c r="L11" i="2" s="1"/>
  <c r="I12" i="2"/>
  <c r="K12" i="2" s="1"/>
  <c r="L12" i="2" s="1"/>
  <c r="I13" i="2"/>
  <c r="K13" i="2" s="1"/>
  <c r="L13" i="2" s="1"/>
  <c r="I14" i="2"/>
  <c r="M14" i="2" s="1"/>
  <c r="I15" i="2"/>
  <c r="K15" i="2" s="1"/>
  <c r="L15" i="2" s="1"/>
  <c r="I16" i="2"/>
  <c r="K16" i="2" s="1"/>
  <c r="L16" i="2" s="1"/>
  <c r="I17" i="2"/>
  <c r="K17" i="2" s="1"/>
  <c r="L17" i="2" s="1"/>
  <c r="I18" i="2"/>
  <c r="M18" i="2" s="1"/>
  <c r="I19" i="2"/>
  <c r="K19" i="2" s="1"/>
  <c r="L19" i="2" s="1"/>
  <c r="I20" i="2"/>
  <c r="M20" i="2" s="1"/>
  <c r="I21" i="2"/>
  <c r="M21" i="2" s="1"/>
  <c r="I22" i="2"/>
  <c r="M22" i="2" s="1"/>
  <c r="I23" i="2"/>
  <c r="M23" i="2" s="1"/>
  <c r="I24" i="2"/>
  <c r="K24" i="2" s="1"/>
  <c r="L24" i="2" s="1"/>
  <c r="I25" i="2"/>
  <c r="K25" i="2" s="1"/>
  <c r="L25" i="2" s="1"/>
  <c r="I26" i="2"/>
  <c r="M26" i="2" s="1"/>
  <c r="I27" i="2"/>
  <c r="M27" i="2" s="1"/>
  <c r="I28" i="2"/>
  <c r="M28" i="2" s="1"/>
  <c r="I29" i="2"/>
  <c r="M29" i="2" s="1"/>
  <c r="I30" i="2"/>
  <c r="M30" i="2" s="1"/>
  <c r="I31" i="2"/>
  <c r="M31" i="2" s="1"/>
  <c r="M2" i="2"/>
  <c r="M3" i="2"/>
  <c r="M7" i="2"/>
  <c r="M8" i="2"/>
  <c r="M11" i="2"/>
  <c r="M12" i="2"/>
  <c r="M19" i="2"/>
  <c r="M24" i="2"/>
  <c r="M25" i="2"/>
  <c r="M13" i="2" l="1"/>
  <c r="K10" i="2"/>
  <c r="L10" i="2" s="1"/>
  <c r="K18" i="2"/>
  <c r="L18" i="2" s="1"/>
  <c r="K30" i="2"/>
  <c r="L30" i="2" s="1"/>
  <c r="K26" i="2"/>
  <c r="L26" i="2" s="1"/>
  <c r="K14" i="2"/>
  <c r="L14" i="2" s="1"/>
  <c r="M17" i="2"/>
  <c r="K29" i="2"/>
  <c r="L29" i="2" s="1"/>
  <c r="K21" i="2"/>
  <c r="L21" i="2" s="1"/>
  <c r="K9" i="2"/>
  <c r="L9" i="2" s="1"/>
  <c r="K5" i="2"/>
  <c r="L5" i="2" s="1"/>
  <c r="M16" i="2"/>
  <c r="K28" i="2"/>
  <c r="L28" i="2" s="1"/>
  <c r="K20" i="2"/>
  <c r="L20" i="2" s="1"/>
  <c r="K4" i="2"/>
  <c r="L4" i="2" s="1"/>
  <c r="M15" i="2"/>
  <c r="K31" i="2"/>
  <c r="L31" i="2" s="1"/>
  <c r="K27" i="2"/>
  <c r="L27" i="2" s="1"/>
  <c r="K23" i="2"/>
  <c r="L23" i="2" s="1"/>
</calcChain>
</file>

<file path=xl/sharedStrings.xml><?xml version="1.0" encoding="utf-8"?>
<sst xmlns="http://schemas.openxmlformats.org/spreadsheetml/2006/main" count="202" uniqueCount="73">
  <si>
    <t>Raw Data</t>
  </si>
  <si>
    <t>Alex Johnson-EMP005-New York-West-806-455-886-920-3067-4090-74.99%-1023</t>
  </si>
  <si>
    <t>Jane Smith-EMP001-New York-Midwest-985-700-862-204-2751-4392-62.64%-1641</t>
  </si>
  <si>
    <t>Jane Smith-EMP002-Texas-West-635-605-512-607-2359-4136-57.04%-1777</t>
  </si>
  <si>
    <t>Jane Smith-EMP004-Texas-South-229-846-416-829-2320-3022-76.77%-702</t>
  </si>
  <si>
    <t>Alex Johnson-EMP002-California-West-244-914-422-329-1909-4954-38.53%-3045</t>
  </si>
  <si>
    <t>Jane Smith-EMP005-Texas-West-238-784-549-576-2147-3664-58.60%-1517</t>
  </si>
  <si>
    <t>Alex Johnson-EMP003-Texas-East-605-477-685-481-2248-3622-62.07%-1374</t>
  </si>
  <si>
    <t>John Doe-EMP002-Texas-Southeast-933-270-651-300-2154-3561-60.49%-1407</t>
  </si>
  <si>
    <t>Jane Smith-EMP003-New York-East-615-638-829-629-2711-4389-61.77%-1678</t>
  </si>
  <si>
    <t>Chris Brown-EMP002-Texas-Southeast-730-605-790-216-2341-4839-48.38%-2498</t>
  </si>
  <si>
    <t>Jane Smith-EMP005-Florida-West-411-394-877-792-2474-4594-53.85%-2120</t>
  </si>
  <si>
    <t>Emily Davis-EMP001-Illinois-South-414-230-949-848-2441-3269-74.67%-828</t>
  </si>
  <si>
    <t>Alex Johnson-EMP005-Texas-Southeast-703-830-754-284-2571-4888-52.60%-2317</t>
  </si>
  <si>
    <t>Alex Johnson-EMP005-California-West-977-465-763-242-2447-3614-67.71%-1167</t>
  </si>
  <si>
    <t>John Doe-EMP003-New York-South-345-455-926-847-2573-3572-72.03%-999</t>
  </si>
  <si>
    <t>Jane Smith-EMP004-California-West-317-758-914-486-2475-4514-54.83%-2039</t>
  </si>
  <si>
    <t>Emily Davis-EMP002-Texas-East-818-201-532-639-2190-4812-45.51%-2622</t>
  </si>
  <si>
    <t>Jane Smith-EMP004-Illinois-Midwest-283-379-853-467-1982-4234-46.81%-2252</t>
  </si>
  <si>
    <t>John Doe-EMP001-Illinois-West-596-492-865-816-2769-4458-62.11%-1689</t>
  </si>
  <si>
    <t>John Doe-EMP001-California-Southeast-519-368-653-567-2107-3681-57.24%-1574</t>
  </si>
  <si>
    <t>Chris Brown-EMP004-Texas-Midwest-766-676-944-737-3123-4574-68.28%-1451</t>
  </si>
  <si>
    <t>Alex Johnson-EMP005-Illinois-South-896-751-440-655-2742-3611-75.93%-869</t>
  </si>
  <si>
    <t>John Doe-EMP004-Florida-Midwest-682-247-392-560-1881-3547-53.03%-1666</t>
  </si>
  <si>
    <t>Emily Davis-EMP004-Illinois-East-514-348-337-491-1690-3147-53.70%-1457</t>
  </si>
  <si>
    <t>John Doe-EMP001-Florida-South-536-773-963-818-3090-3358-92.02%-268</t>
  </si>
  <si>
    <t>Jane Smith-EMP005-New York-East-378-580-648-414-2020-4045-49.94%-2025</t>
  </si>
  <si>
    <t>Jane Smith-EMP003-Florida-East-318-954-564-229-2065-4992-41.37%-2927</t>
  </si>
  <si>
    <t>Alex Johnson-EMP004-Illinois-Southeast-267-913-307-505-1992-4594-43.36%-2602</t>
  </si>
  <si>
    <t>Chris Brown-EMP004-Florida-Southeast-558-426-659-676-2319-4931-47.03%-2612</t>
  </si>
  <si>
    <t>John Doe-EMP001-Texas-West-833-377-344-340-1894-3426-55.28%-1532</t>
  </si>
  <si>
    <t>Alex Johnson</t>
  </si>
  <si>
    <t>EMP005</t>
  </si>
  <si>
    <t>New York</t>
  </si>
  <si>
    <t>West</t>
  </si>
  <si>
    <t>Jane Smith</t>
  </si>
  <si>
    <t>EMP001</t>
  </si>
  <si>
    <t>Midwest</t>
  </si>
  <si>
    <t>EMP002</t>
  </si>
  <si>
    <t>Texas</t>
  </si>
  <si>
    <t>EMP004</t>
  </si>
  <si>
    <t>South</t>
  </si>
  <si>
    <t>California</t>
  </si>
  <si>
    <t>EMP003</t>
  </si>
  <si>
    <t>East</t>
  </si>
  <si>
    <t>John Doe</t>
  </si>
  <si>
    <t>Southeast</t>
  </si>
  <si>
    <t>Chris Brown</t>
  </si>
  <si>
    <t>Florida</t>
  </si>
  <si>
    <t>Emily Davis</t>
  </si>
  <si>
    <t>Illinois</t>
  </si>
  <si>
    <t>EMPLOYEE NAME</t>
  </si>
  <si>
    <t>ID</t>
  </si>
  <si>
    <t>REGION</t>
  </si>
  <si>
    <t>WEEK 1 SALE</t>
  </si>
  <si>
    <t>WEEK 2 SALE</t>
  </si>
  <si>
    <t>WEEK 3 SALE</t>
  </si>
  <si>
    <t>WEEK 4 SALE</t>
  </si>
  <si>
    <t>TOTAL SALE</t>
  </si>
  <si>
    <t>TARGET</t>
  </si>
  <si>
    <t>HIT TARGET</t>
  </si>
  <si>
    <t>AWAY FROM TARGET</t>
  </si>
  <si>
    <t>STATE</t>
  </si>
  <si>
    <t>AWAY FROM TARGET (%)</t>
  </si>
  <si>
    <t>Grand Total</t>
  </si>
  <si>
    <t>SALES EXECUTIVE</t>
  </si>
  <si>
    <t xml:space="preserve">WEEK 1 SALE </t>
  </si>
  <si>
    <t xml:space="preserve">WEEK 2 SALE </t>
  </si>
  <si>
    <t xml:space="preserve">WEEK 3 SALE </t>
  </si>
  <si>
    <t xml:space="preserve">WEEK 4 SALE </t>
  </si>
  <si>
    <t>Sum of TOTAL SALE</t>
  </si>
  <si>
    <t xml:space="preserve">AWAY FROM TARGET </t>
  </si>
  <si>
    <t>Sum of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</si>
</sst>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sz val="11"/>
      <color theme="1"/>
      <name val="Calibri"/>
      <family val="2"/>
      <scheme val="minor"/>
    </font>
    <font>
      <b/>
      <sz val="12"/>
      <color theme="0"/>
      <name val="Calibri"/>
      <family val="2"/>
      <scheme val="minor"/>
    </font>
    <font>
      <sz val="12"/>
      <color theme="0"/>
      <name val="Calibri"/>
      <family val="2"/>
      <scheme val="minor"/>
    </font>
    <font>
      <sz val="8"/>
      <color rgb="FF000000"/>
      <name val="Segoe UI"/>
      <family val="2"/>
    </font>
    <font>
      <sz val="12"/>
      <color theme="1"/>
      <name val="Calibri"/>
      <family val="2"/>
      <scheme val="minor"/>
    </font>
  </fonts>
  <fills count="4">
    <fill>
      <patternFill patternType="none"/>
    </fill>
    <fill>
      <patternFill patternType="gray125"/>
    </fill>
    <fill>
      <patternFill patternType="solid">
        <fgColor theme="4" tint="-0.499984740745262"/>
        <bgColor indexed="64"/>
      </patternFill>
    </fill>
    <fill>
      <patternFill patternType="solid">
        <fgColor theme="0" tint="-4.9989318521683403E-2"/>
        <bgColor indexed="64"/>
      </patternFill>
    </fill>
  </fills>
  <borders count="7">
    <border>
      <left/>
      <right/>
      <top/>
      <bottom/>
      <diagonal/>
    </border>
    <border>
      <left style="thin">
        <color auto="1"/>
      </left>
      <right style="thin">
        <color auto="1"/>
      </right>
      <top style="thin">
        <color auto="1"/>
      </top>
      <bottom style="thin">
        <color auto="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18">
    <xf numFmtId="0" fontId="0" fillId="0" borderId="0" xfId="0"/>
    <xf numFmtId="0" fontId="1" fillId="0" borderId="1" xfId="0" applyFont="1" applyBorder="1" applyAlignment="1">
      <alignment horizontal="center" vertical="top"/>
    </xf>
    <xf numFmtId="0" fontId="0" fillId="0" borderId="5" xfId="0" applyBorder="1"/>
    <xf numFmtId="0" fontId="0" fillId="0" borderId="1" xfId="0" applyBorder="1"/>
    <xf numFmtId="10" fontId="0" fillId="0" borderId="1" xfId="0" applyNumberFormat="1" applyBorder="1"/>
    <xf numFmtId="0" fontId="0" fillId="0" borderId="6" xfId="0" applyBorder="1"/>
    <xf numFmtId="0" fontId="2"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0" fillId="0" borderId="0" xfId="0" applyAlignment="1">
      <alignment horizontal="center" vertical="center"/>
    </xf>
    <xf numFmtId="10" fontId="0" fillId="0" borderId="6" xfId="0" applyNumberFormat="1" applyBorder="1"/>
    <xf numFmtId="0" fontId="0" fillId="0" borderId="0" xfId="0" pivotButton="1"/>
    <xf numFmtId="0" fontId="0" fillId="0" borderId="0" xfId="0" applyAlignment="1">
      <alignment horizontal="left"/>
    </xf>
    <xf numFmtId="0" fontId="0" fillId="3" borderId="0" xfId="0" applyFill="1"/>
    <xf numFmtId="0" fontId="5" fillId="0" borderId="0" xfId="0" pivotButton="1" applyFont="1"/>
    <xf numFmtId="0" fontId="5" fillId="0" borderId="0" xfId="0" applyFont="1"/>
    <xf numFmtId="0" fontId="5" fillId="0" borderId="0" xfId="0" applyFont="1" applyAlignment="1">
      <alignment horizontal="left"/>
    </xf>
    <xf numFmtId="0" fontId="5" fillId="0" borderId="0" xfId="0" applyNumberFormat="1" applyFont="1"/>
  </cellXfs>
  <cellStyles count="1">
    <cellStyle name="Normal" xfId="0" builtinId="0"/>
  </cellStyles>
  <dxfs count="43">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border diagonalUp="0" diagonalDown="0">
        <left style="thin">
          <color indexed="64"/>
        </left>
        <right/>
        <top style="thin">
          <color indexed="64"/>
        </top>
        <bottom style="thin">
          <color indexed="64"/>
        </bottom>
        <vertical style="thin">
          <color indexed="64"/>
        </vertical>
        <horizontal style="thin">
          <color indexed="64"/>
        </horizontal>
      </border>
    </dxf>
    <dxf>
      <numFmt numFmtId="14" formatCode="0.00%"/>
      <border diagonalUp="0" diagonalDown="0">
        <left style="thin">
          <color indexed="64"/>
        </left>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theme="0"/>
        <name val="Calibri"/>
        <family val="2"/>
        <scheme val="minor"/>
      </font>
      <fill>
        <patternFill patternType="solid">
          <fgColor indexed="64"/>
          <bgColor theme="4" tint="-0.49998474074526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24994659260841701"/>
      </font>
      <fill>
        <patternFill>
          <bgColor theme="3" tint="-0.24994659260841701"/>
        </patternFill>
      </fill>
    </dxf>
    <dxf>
      <font>
        <color theme="3" tint="-0.499984740745262"/>
      </font>
    </dxf>
  </dxfs>
  <tableStyles count="2" defaultTableStyle="TableStyleMedium9" defaultPivotStyle="PivotStyleLight16">
    <tableStyle name="PivotTable Style 1" table="0" count="1" xr9:uid="{987C3F30-A0FF-4EE5-B960-737791F5442F}">
      <tableStyleElement type="wholeTable" dxfId="42"/>
    </tableStyle>
    <tableStyle name="Slicer Style 1" pivot="0" table="0" count="5" xr9:uid="{3BFC030B-3EB3-4692-A852-9FB2F5F721F3}">
      <tableStyleElement type="wholeTable" dxfId="41"/>
    </tableStyle>
  </tableStyles>
  <extLst>
    <ext xmlns:x14="http://schemas.microsoft.com/office/spreadsheetml/2009/9/main" uri="{46F421CA-312F-682f-3DD2-61675219B42D}">
      <x14:dxfs count="4">
        <dxf>
          <fill>
            <patternFill>
              <bgColor theme="3" tint="0.39994506668294322"/>
            </patternFill>
          </fill>
        </dxf>
        <dxf>
          <fill>
            <patternFill>
              <bgColor theme="0" tint="-0.24994659260841701"/>
            </patternFill>
          </fill>
        </dxf>
        <dxf>
          <font>
            <color theme="1"/>
          </font>
          <fill>
            <patternFill>
              <bgColor theme="3" tint="0.59996337778862885"/>
            </patternFill>
          </fill>
        </dxf>
        <dxf>
          <font>
            <color theme="1"/>
          </font>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[Corporate_Sales_Data_Of_One_Month.xlsm]Dashboard!PivotTable6</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WEEK 1 SALE </c:v>
                </c:pt>
              </c:strCache>
            </c:strRef>
          </c:tx>
          <c:spPr>
            <a:solidFill>
              <a:schemeClr val="accent1"/>
            </a:solidFill>
            <a:ln>
              <a:noFill/>
            </a:ln>
            <a:effectLst/>
          </c:spPr>
          <c:invertIfNegative val="0"/>
          <c:cat>
            <c:strRef>
              <c:f>Dashboard!$A$4:$A$9</c:f>
              <c:strCache>
                <c:ptCount val="5"/>
                <c:pt idx="0">
                  <c:v>John Doe</c:v>
                </c:pt>
                <c:pt idx="1">
                  <c:v>Jane Smith</c:v>
                </c:pt>
                <c:pt idx="2">
                  <c:v>Emily Davis</c:v>
                </c:pt>
                <c:pt idx="3">
                  <c:v>Chris Brown</c:v>
                </c:pt>
                <c:pt idx="4">
                  <c:v>Alex Johnson</c:v>
                </c:pt>
              </c:strCache>
            </c:strRef>
          </c:cat>
          <c:val>
            <c:numRef>
              <c:f>Dashboard!$B$4:$B$9</c:f>
              <c:numCache>
                <c:formatCode>General</c:formatCode>
                <c:ptCount val="5"/>
                <c:pt idx="0">
                  <c:v>4444</c:v>
                </c:pt>
                <c:pt idx="1">
                  <c:v>4409</c:v>
                </c:pt>
                <c:pt idx="2">
                  <c:v>1746</c:v>
                </c:pt>
                <c:pt idx="3">
                  <c:v>2054</c:v>
                </c:pt>
                <c:pt idx="4">
                  <c:v>4498</c:v>
                </c:pt>
              </c:numCache>
            </c:numRef>
          </c:val>
          <c:extLst>
            <c:ext xmlns:c16="http://schemas.microsoft.com/office/drawing/2014/chart" uri="{C3380CC4-5D6E-409C-BE32-E72D297353CC}">
              <c16:uniqueId val="{00000000-AA63-4B06-9ED6-CF4A7BAEBE8A}"/>
            </c:ext>
          </c:extLst>
        </c:ser>
        <c:ser>
          <c:idx val="1"/>
          <c:order val="1"/>
          <c:tx>
            <c:strRef>
              <c:f>Dashboard!$C$3</c:f>
              <c:strCache>
                <c:ptCount val="1"/>
                <c:pt idx="0">
                  <c:v>WEEK 2 SALE </c:v>
                </c:pt>
              </c:strCache>
            </c:strRef>
          </c:tx>
          <c:spPr>
            <a:solidFill>
              <a:schemeClr val="accent2"/>
            </a:solidFill>
            <a:ln>
              <a:noFill/>
            </a:ln>
            <a:effectLst/>
          </c:spPr>
          <c:invertIfNegative val="0"/>
          <c:cat>
            <c:strRef>
              <c:f>Dashboard!$A$4:$A$9</c:f>
              <c:strCache>
                <c:ptCount val="5"/>
                <c:pt idx="0">
                  <c:v>John Doe</c:v>
                </c:pt>
                <c:pt idx="1">
                  <c:v>Jane Smith</c:v>
                </c:pt>
                <c:pt idx="2">
                  <c:v>Emily Davis</c:v>
                </c:pt>
                <c:pt idx="3">
                  <c:v>Chris Brown</c:v>
                </c:pt>
                <c:pt idx="4">
                  <c:v>Alex Johnson</c:v>
                </c:pt>
              </c:strCache>
            </c:strRef>
          </c:cat>
          <c:val>
            <c:numRef>
              <c:f>Dashboard!$C$4:$C$9</c:f>
              <c:numCache>
                <c:formatCode>General</c:formatCode>
                <c:ptCount val="5"/>
                <c:pt idx="0">
                  <c:v>2982</c:v>
                </c:pt>
                <c:pt idx="1">
                  <c:v>6638</c:v>
                </c:pt>
                <c:pt idx="2">
                  <c:v>779</c:v>
                </c:pt>
                <c:pt idx="3">
                  <c:v>1707</c:v>
                </c:pt>
                <c:pt idx="4">
                  <c:v>4805</c:v>
                </c:pt>
              </c:numCache>
            </c:numRef>
          </c:val>
          <c:extLst>
            <c:ext xmlns:c16="http://schemas.microsoft.com/office/drawing/2014/chart" uri="{C3380CC4-5D6E-409C-BE32-E72D297353CC}">
              <c16:uniqueId val="{00000001-AA63-4B06-9ED6-CF4A7BAEBE8A}"/>
            </c:ext>
          </c:extLst>
        </c:ser>
        <c:ser>
          <c:idx val="2"/>
          <c:order val="2"/>
          <c:tx>
            <c:strRef>
              <c:f>Dashboard!$D$3</c:f>
              <c:strCache>
                <c:ptCount val="1"/>
                <c:pt idx="0">
                  <c:v>WEEK 3 SALE </c:v>
                </c:pt>
              </c:strCache>
            </c:strRef>
          </c:tx>
          <c:spPr>
            <a:solidFill>
              <a:schemeClr val="accent3"/>
            </a:solidFill>
            <a:ln>
              <a:noFill/>
            </a:ln>
            <a:effectLst/>
          </c:spPr>
          <c:invertIfNegative val="0"/>
          <c:cat>
            <c:strRef>
              <c:f>Dashboard!$A$4:$A$9</c:f>
              <c:strCache>
                <c:ptCount val="5"/>
                <c:pt idx="0">
                  <c:v>John Doe</c:v>
                </c:pt>
                <c:pt idx="1">
                  <c:v>Jane Smith</c:v>
                </c:pt>
                <c:pt idx="2">
                  <c:v>Emily Davis</c:v>
                </c:pt>
                <c:pt idx="3">
                  <c:v>Chris Brown</c:v>
                </c:pt>
                <c:pt idx="4">
                  <c:v>Alex Johnson</c:v>
                </c:pt>
              </c:strCache>
            </c:strRef>
          </c:cat>
          <c:val>
            <c:numRef>
              <c:f>Dashboard!$D$4:$D$9</c:f>
              <c:numCache>
                <c:formatCode>General</c:formatCode>
                <c:ptCount val="5"/>
                <c:pt idx="0">
                  <c:v>4794</c:v>
                </c:pt>
                <c:pt idx="1">
                  <c:v>7024</c:v>
                </c:pt>
                <c:pt idx="2">
                  <c:v>1818</c:v>
                </c:pt>
                <c:pt idx="3">
                  <c:v>2393</c:v>
                </c:pt>
                <c:pt idx="4">
                  <c:v>4257</c:v>
                </c:pt>
              </c:numCache>
            </c:numRef>
          </c:val>
          <c:extLst>
            <c:ext xmlns:c16="http://schemas.microsoft.com/office/drawing/2014/chart" uri="{C3380CC4-5D6E-409C-BE32-E72D297353CC}">
              <c16:uniqueId val="{00000002-AA63-4B06-9ED6-CF4A7BAEBE8A}"/>
            </c:ext>
          </c:extLst>
        </c:ser>
        <c:ser>
          <c:idx val="3"/>
          <c:order val="3"/>
          <c:tx>
            <c:strRef>
              <c:f>Dashboard!$E$3</c:f>
              <c:strCache>
                <c:ptCount val="1"/>
                <c:pt idx="0">
                  <c:v>WEEK 4 SALE </c:v>
                </c:pt>
              </c:strCache>
            </c:strRef>
          </c:tx>
          <c:spPr>
            <a:solidFill>
              <a:schemeClr val="accent4"/>
            </a:solidFill>
            <a:ln>
              <a:noFill/>
            </a:ln>
            <a:effectLst/>
          </c:spPr>
          <c:invertIfNegative val="0"/>
          <c:cat>
            <c:strRef>
              <c:f>Dashboard!$A$4:$A$9</c:f>
              <c:strCache>
                <c:ptCount val="5"/>
                <c:pt idx="0">
                  <c:v>John Doe</c:v>
                </c:pt>
                <c:pt idx="1">
                  <c:v>Jane Smith</c:v>
                </c:pt>
                <c:pt idx="2">
                  <c:v>Emily Davis</c:v>
                </c:pt>
                <c:pt idx="3">
                  <c:v>Chris Brown</c:v>
                </c:pt>
                <c:pt idx="4">
                  <c:v>Alex Johnson</c:v>
                </c:pt>
              </c:strCache>
            </c:strRef>
          </c:cat>
          <c:val>
            <c:numRef>
              <c:f>Dashboard!$E$4:$E$9</c:f>
              <c:numCache>
                <c:formatCode>General</c:formatCode>
                <c:ptCount val="5"/>
                <c:pt idx="0">
                  <c:v>4248</c:v>
                </c:pt>
                <c:pt idx="1">
                  <c:v>5233</c:v>
                </c:pt>
                <c:pt idx="2">
                  <c:v>1978</c:v>
                </c:pt>
                <c:pt idx="3">
                  <c:v>1629</c:v>
                </c:pt>
                <c:pt idx="4">
                  <c:v>3416</c:v>
                </c:pt>
              </c:numCache>
            </c:numRef>
          </c:val>
          <c:extLst>
            <c:ext xmlns:c16="http://schemas.microsoft.com/office/drawing/2014/chart" uri="{C3380CC4-5D6E-409C-BE32-E72D297353CC}">
              <c16:uniqueId val="{00000003-AA63-4B06-9ED6-CF4A7BAEBE8A}"/>
            </c:ext>
          </c:extLst>
        </c:ser>
        <c:dLbls>
          <c:showLegendKey val="0"/>
          <c:showVal val="0"/>
          <c:showCatName val="0"/>
          <c:showSerName val="0"/>
          <c:showPercent val="0"/>
          <c:showBubbleSize val="0"/>
        </c:dLbls>
        <c:gapWidth val="219"/>
        <c:overlap val="-27"/>
        <c:axId val="1756029119"/>
        <c:axId val="1756038719"/>
      </c:barChart>
      <c:catAx>
        <c:axId val="1756029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6038719"/>
        <c:crosses val="autoZero"/>
        <c:auto val="1"/>
        <c:lblAlgn val="ctr"/>
        <c:lblOffset val="100"/>
        <c:noMultiLvlLbl val="0"/>
      </c:catAx>
      <c:valAx>
        <c:axId val="17560387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6029119"/>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[Corporate_Sales_Data_Of_One_Month.xlsm]Dashboard!PivotTable2</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Dashboard!$H$3</c:f>
              <c:strCache>
                <c:ptCount val="1"/>
                <c:pt idx="0">
                  <c:v>Total</c:v>
                </c:pt>
              </c:strCache>
            </c:strRef>
          </c:tx>
          <c:spPr>
            <a:solidFill>
              <a:schemeClr val="accent1"/>
            </a:solidFill>
            <a:ln>
              <a:noFill/>
            </a:ln>
            <a:effectLst/>
          </c:spPr>
          <c:invertIfNegative val="0"/>
          <c:cat>
            <c:strRef>
              <c:f>Dashboard!$G$4:$G$9</c:f>
              <c:strCache>
                <c:ptCount val="5"/>
                <c:pt idx="0">
                  <c:v>John Doe</c:v>
                </c:pt>
                <c:pt idx="1">
                  <c:v>Jane Smith</c:v>
                </c:pt>
                <c:pt idx="2">
                  <c:v>Emily Davis</c:v>
                </c:pt>
                <c:pt idx="3">
                  <c:v>Chris Brown</c:v>
                </c:pt>
                <c:pt idx="4">
                  <c:v>Alex Johnson</c:v>
                </c:pt>
              </c:strCache>
            </c:strRef>
          </c:cat>
          <c:val>
            <c:numRef>
              <c:f>Dashboard!$H$4:$H$9</c:f>
              <c:numCache>
                <c:formatCode>General</c:formatCode>
                <c:ptCount val="5"/>
                <c:pt idx="0">
                  <c:v>25603</c:v>
                </c:pt>
                <c:pt idx="1">
                  <c:v>41982</c:v>
                </c:pt>
                <c:pt idx="2">
                  <c:v>11228</c:v>
                </c:pt>
                <c:pt idx="3">
                  <c:v>14344</c:v>
                </c:pt>
                <c:pt idx="4">
                  <c:v>29373</c:v>
                </c:pt>
              </c:numCache>
            </c:numRef>
          </c:val>
          <c:extLst>
            <c:ext xmlns:c16="http://schemas.microsoft.com/office/drawing/2014/chart" uri="{C3380CC4-5D6E-409C-BE32-E72D297353CC}">
              <c16:uniqueId val="{00000000-9153-4E05-A4B1-4B479D833734}"/>
            </c:ext>
          </c:extLst>
        </c:ser>
        <c:dLbls>
          <c:showLegendKey val="0"/>
          <c:showVal val="0"/>
          <c:showCatName val="0"/>
          <c:showSerName val="0"/>
          <c:showPercent val="0"/>
          <c:showBubbleSize val="0"/>
        </c:dLbls>
        <c:gapWidth val="219"/>
        <c:overlap val="-27"/>
        <c:axId val="1750721327"/>
        <c:axId val="1746333135"/>
      </c:barChart>
      <c:catAx>
        <c:axId val="1750721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6333135"/>
        <c:crosses val="autoZero"/>
        <c:auto val="1"/>
        <c:lblAlgn val="ctr"/>
        <c:lblOffset val="100"/>
        <c:noMultiLvlLbl val="0"/>
      </c:catAx>
      <c:valAx>
        <c:axId val="17463331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721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[Corporate_Sales_Data_Of_One_Month.xlsm]Dashboard!PivotTable4</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manualLayout>
          <c:layoutTarget val="inner"/>
          <c:xMode val="edge"/>
          <c:yMode val="edge"/>
          <c:x val="4.763655368193017E-2"/>
          <c:y val="0.22122410716161514"/>
          <c:w val="0.66344841099763807"/>
          <c:h val="0.62097614460526707"/>
        </c:manualLayout>
      </c:layout>
      <c:pieChart>
        <c:varyColors val="1"/>
        <c:ser>
          <c:idx val="0"/>
          <c:order val="0"/>
          <c:tx>
            <c:strRef>
              <c:f>Dashboard!$K$3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67D-4F0A-8542-E6922A52DC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67D-4F0A-8542-E6922A52DC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67D-4F0A-8542-E6922A52DCC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67D-4F0A-8542-E6922A52DCC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67D-4F0A-8542-E6922A52DCC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Dashboard!$J$4:$J$8</c:f>
              <c:strCache>
                <c:ptCount val="5"/>
                <c:pt idx="0">
                  <c:v>John Doe</c:v>
                </c:pt>
                <c:pt idx="1">
                  <c:v>Jane Smith</c:v>
                </c:pt>
                <c:pt idx="2">
                  <c:v>Emily Davis</c:v>
                </c:pt>
                <c:pt idx="3">
                  <c:v>Chris Brown</c:v>
                </c:pt>
                <c:pt idx="4">
                  <c:v>Alex Johnson</c:v>
                </c:pt>
              </c:strCache>
            </c:strRef>
          </c:cat>
          <c:val>
            <c:numRef>
              <c:f>Dashboard!$K$4:$K$8</c:f>
              <c:numCache>
                <c:formatCode>General</c:formatCode>
                <c:ptCount val="5"/>
                <c:pt idx="0">
                  <c:v>16468</c:v>
                </c:pt>
                <c:pt idx="1">
                  <c:v>23304</c:v>
                </c:pt>
                <c:pt idx="2">
                  <c:v>6321</c:v>
                </c:pt>
                <c:pt idx="3">
                  <c:v>7783</c:v>
                </c:pt>
                <c:pt idx="4">
                  <c:v>16976</c:v>
                </c:pt>
              </c:numCache>
            </c:numRef>
          </c:val>
          <c:extLst>
            <c:ext xmlns:c16="http://schemas.microsoft.com/office/drawing/2014/chart" uri="{C3380CC4-5D6E-409C-BE32-E72D297353CC}">
              <c16:uniqueId val="{0000000A-3297-42C2-854E-FC7C550EB53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6220924606976974"/>
          <c:y val="7.4689706118661993E-3"/>
          <c:w val="0.41852975157553485"/>
          <c:h val="0.380144428110448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[Corporate_Sales_Data_Of_One_Month.xlsm]Dashboard!PivotTable5</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Dashboard!$N$3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17-4EAF-A6DE-03BCC69C88A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F17-4EAF-A6DE-03BCC69C88A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F17-4EAF-A6DE-03BCC69C88A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F17-4EAF-A6DE-03BCC69C88A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F17-4EAF-A6DE-03BCC69C88A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Dashboard!$M$4:$M$8</c:f>
              <c:strCache>
                <c:ptCount val="5"/>
                <c:pt idx="0">
                  <c:v>John Doe</c:v>
                </c:pt>
                <c:pt idx="1">
                  <c:v>Jane Smith</c:v>
                </c:pt>
                <c:pt idx="2">
                  <c:v>Emily Davis</c:v>
                </c:pt>
                <c:pt idx="3">
                  <c:v>Chris Brown</c:v>
                </c:pt>
                <c:pt idx="4">
                  <c:v>Alex Johnson</c:v>
                </c:pt>
              </c:strCache>
            </c:strRef>
          </c:cat>
          <c:val>
            <c:numRef>
              <c:f>Dashboard!$N$4:$N$8</c:f>
              <c:numCache>
                <c:formatCode>General</c:formatCode>
                <c:ptCount val="5"/>
                <c:pt idx="0">
                  <c:v>9135</c:v>
                </c:pt>
                <c:pt idx="1">
                  <c:v>18678</c:v>
                </c:pt>
                <c:pt idx="2">
                  <c:v>4907</c:v>
                </c:pt>
                <c:pt idx="3">
                  <c:v>6561</c:v>
                </c:pt>
                <c:pt idx="4">
                  <c:v>12397</c:v>
                </c:pt>
              </c:numCache>
            </c:numRef>
          </c:val>
          <c:extLst>
            <c:ext xmlns:c16="http://schemas.microsoft.com/office/drawing/2014/chart" uri="{C3380CC4-5D6E-409C-BE32-E72D297353CC}">
              <c16:uniqueId val="{00000006-81EC-4CBD-8455-8F10E6E9898B}"/>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G$1" lockText="1" noThreeD="1"/>
</file>

<file path=xl/ctrlProps/ctrlProp2.xml><?xml version="1.0" encoding="utf-8"?>
<formControlPr xmlns="http://schemas.microsoft.com/office/spreadsheetml/2009/9/main" objectType="CheckBox" fmlaLink="$J$1" lockText="1" noThreeD="1"/>
</file>

<file path=xl/ctrlProps/ctrlProp3.xml><?xml version="1.0" encoding="utf-8"?>
<formControlPr xmlns="http://schemas.microsoft.com/office/spreadsheetml/2009/9/main" objectType="CheckBox" fmlaLink="$M$1" lockText="1" noThreeD="1"/>
</file>

<file path=xl/ctrlProps/ctrlProp4.xml><?xml version="1.0" encoding="utf-8"?>
<formControlPr xmlns="http://schemas.microsoft.com/office/spreadsheetml/2009/9/main" objectType="CheckBox"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46652</xdr:rowOff>
    </xdr:from>
    <xdr:to>
      <xdr:col>5</xdr:col>
      <xdr:colOff>707</xdr:colOff>
      <xdr:row>27</xdr:row>
      <xdr:rowOff>0</xdr:rowOff>
    </xdr:to>
    <xdr:graphicFrame macro="">
      <xdr:nvGraphicFramePr>
        <xdr:cNvPr id="3" name="Chart 2">
          <a:extLst>
            <a:ext uri="{FF2B5EF4-FFF2-40B4-BE49-F238E27FC236}">
              <a16:creationId xmlns:a16="http://schemas.microsoft.com/office/drawing/2014/main" id="{CCC7A7EC-5A40-098F-5964-3E8DC96205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186612</xdr:colOff>
      <xdr:row>9</xdr:row>
      <xdr:rowOff>31101</xdr:rowOff>
    </xdr:from>
    <xdr:to>
      <xdr:col>8</xdr:col>
      <xdr:colOff>233265</xdr:colOff>
      <xdr:row>27</xdr:row>
      <xdr:rowOff>13061</xdr:rowOff>
    </xdr:to>
    <xdr:graphicFrame macro="">
      <xdr:nvGraphicFramePr>
        <xdr:cNvPr id="6" name="Chart 5">
          <a:extLst>
            <a:ext uri="{FF2B5EF4-FFF2-40B4-BE49-F238E27FC236}">
              <a16:creationId xmlns:a16="http://schemas.microsoft.com/office/drawing/2014/main" id="{F91EED6C-8765-B0BD-89BF-05DEB5AAA1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38879</xdr:colOff>
      <xdr:row>9</xdr:row>
      <xdr:rowOff>0</xdr:rowOff>
    </xdr:from>
    <xdr:to>
      <xdr:col>12</xdr:col>
      <xdr:colOff>116633</xdr:colOff>
      <xdr:row>27</xdr:row>
      <xdr:rowOff>139959</xdr:rowOff>
    </xdr:to>
    <xdr:graphicFrame macro="">
      <xdr:nvGraphicFramePr>
        <xdr:cNvPr id="9" name="Chart 8">
          <a:extLst>
            <a:ext uri="{FF2B5EF4-FFF2-40B4-BE49-F238E27FC236}">
              <a16:creationId xmlns:a16="http://schemas.microsoft.com/office/drawing/2014/main" id="{6015611E-1302-BE66-0DB0-300F1E73DE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67396</xdr:colOff>
      <xdr:row>0</xdr:row>
      <xdr:rowOff>31423</xdr:rowOff>
    </xdr:from>
    <xdr:to>
      <xdr:col>13</xdr:col>
      <xdr:colOff>1217068</xdr:colOff>
      <xdr:row>1</xdr:row>
      <xdr:rowOff>267093</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BBF8ACBD-B9E2-D708-87CA-161CEBBD18C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7396" y="31423"/>
              <a:ext cx="14018141" cy="4222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47134</xdr:colOff>
      <xdr:row>1</xdr:row>
      <xdr:rowOff>298516</xdr:rowOff>
    </xdr:from>
    <xdr:to>
      <xdr:col>1</xdr:col>
      <xdr:colOff>274948</xdr:colOff>
      <xdr:row>1</xdr:row>
      <xdr:rowOff>510619</xdr:rowOff>
    </xdr:to>
    <xdr:sp macro="" textlink="">
      <xdr:nvSpPr>
        <xdr:cNvPr id="11" name="Rectangle: Rounded Corners 10">
          <a:extLst>
            <a:ext uri="{FF2B5EF4-FFF2-40B4-BE49-F238E27FC236}">
              <a16:creationId xmlns:a16="http://schemas.microsoft.com/office/drawing/2014/main" id="{967FB216-2993-B483-0BA6-89EE27A36E1A}"/>
            </a:ext>
          </a:extLst>
        </xdr:cNvPr>
        <xdr:cNvSpPr/>
      </xdr:nvSpPr>
      <xdr:spPr>
        <a:xfrm>
          <a:off x="47134" y="485128"/>
          <a:ext cx="1596304" cy="212103"/>
        </a:xfrm>
        <a:prstGeom prst="round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kern="1200"/>
        </a:p>
      </xdr:txBody>
    </xdr:sp>
    <xdr:clientData/>
  </xdr:twoCellAnchor>
  <xdr:twoCellAnchor>
    <xdr:from>
      <xdr:col>6</xdr:col>
      <xdr:colOff>7855</xdr:colOff>
      <xdr:row>1</xdr:row>
      <xdr:rowOff>298516</xdr:rowOff>
    </xdr:from>
    <xdr:to>
      <xdr:col>7</xdr:col>
      <xdr:colOff>235670</xdr:colOff>
      <xdr:row>1</xdr:row>
      <xdr:rowOff>510619</xdr:rowOff>
    </xdr:to>
    <xdr:sp macro="" textlink="">
      <xdr:nvSpPr>
        <xdr:cNvPr id="12" name="Rectangle: Rounded Corners 11">
          <a:extLst>
            <a:ext uri="{FF2B5EF4-FFF2-40B4-BE49-F238E27FC236}">
              <a16:creationId xmlns:a16="http://schemas.microsoft.com/office/drawing/2014/main" id="{FD181320-18B6-9028-DFCE-5C29A480CDAB}"/>
            </a:ext>
          </a:extLst>
        </xdr:cNvPr>
        <xdr:cNvSpPr/>
      </xdr:nvSpPr>
      <xdr:spPr>
        <a:xfrm>
          <a:off x="5963896" y="485128"/>
          <a:ext cx="1596305" cy="212103"/>
        </a:xfrm>
        <a:prstGeom prst="round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kern="1200"/>
        </a:p>
      </xdr:txBody>
    </xdr:sp>
    <xdr:clientData/>
  </xdr:twoCellAnchor>
  <xdr:twoCellAnchor>
    <xdr:from>
      <xdr:col>8</xdr:col>
      <xdr:colOff>636309</xdr:colOff>
      <xdr:row>1</xdr:row>
      <xdr:rowOff>306371</xdr:rowOff>
    </xdr:from>
    <xdr:to>
      <xdr:col>10</xdr:col>
      <xdr:colOff>227814</xdr:colOff>
      <xdr:row>1</xdr:row>
      <xdr:rowOff>518474</xdr:rowOff>
    </xdr:to>
    <xdr:sp macro="" textlink="">
      <xdr:nvSpPr>
        <xdr:cNvPr id="13" name="Rectangle: Rounded Corners 12">
          <a:extLst>
            <a:ext uri="{FF2B5EF4-FFF2-40B4-BE49-F238E27FC236}">
              <a16:creationId xmlns:a16="http://schemas.microsoft.com/office/drawing/2014/main" id="{9596EEC5-D232-EFBF-2CF3-774D913336F8}"/>
            </a:ext>
          </a:extLst>
        </xdr:cNvPr>
        <xdr:cNvSpPr/>
      </xdr:nvSpPr>
      <xdr:spPr>
        <a:xfrm>
          <a:off x="8295587" y="487051"/>
          <a:ext cx="1476866" cy="212103"/>
        </a:xfrm>
        <a:prstGeom prst="round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kern="1200"/>
        </a:p>
      </xdr:txBody>
    </xdr:sp>
    <xdr:clientData/>
  </xdr:twoCellAnchor>
  <xdr:twoCellAnchor>
    <xdr:from>
      <xdr:col>12</xdr:col>
      <xdr:colOff>235</xdr:colOff>
      <xdr:row>1</xdr:row>
      <xdr:rowOff>298516</xdr:rowOff>
    </xdr:from>
    <xdr:to>
      <xdr:col>13</xdr:col>
      <xdr:colOff>235670</xdr:colOff>
      <xdr:row>1</xdr:row>
      <xdr:rowOff>510619</xdr:rowOff>
    </xdr:to>
    <xdr:sp macro="" textlink="">
      <xdr:nvSpPr>
        <xdr:cNvPr id="14" name="Rectangle: Rounded Corners 13">
          <a:extLst>
            <a:ext uri="{FF2B5EF4-FFF2-40B4-BE49-F238E27FC236}">
              <a16:creationId xmlns:a16="http://schemas.microsoft.com/office/drawing/2014/main" id="{8DDD9134-4C79-15A3-8ECB-C8EC411C19B5}"/>
            </a:ext>
          </a:extLst>
        </xdr:cNvPr>
        <xdr:cNvSpPr/>
      </xdr:nvSpPr>
      <xdr:spPr>
        <a:xfrm>
          <a:off x="11367390" y="479196"/>
          <a:ext cx="1484486" cy="212103"/>
        </a:xfrm>
        <a:prstGeom prst="round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9</xdr:col>
          <xdr:colOff>106680</xdr:colOff>
          <xdr:row>1</xdr:row>
          <xdr:rowOff>289560</xdr:rowOff>
        </xdr:from>
        <xdr:to>
          <xdr:col>10</xdr:col>
          <xdr:colOff>167640</xdr:colOff>
          <xdr:row>1</xdr:row>
          <xdr:rowOff>510540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REGION CONTROL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99060</xdr:colOff>
          <xdr:row>1</xdr:row>
          <xdr:rowOff>289560</xdr:rowOff>
        </xdr:from>
        <xdr:to>
          <xdr:col>13</xdr:col>
          <xdr:colOff>160020</xdr:colOff>
          <xdr:row>1</xdr:row>
          <xdr:rowOff>510540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REGION CONTROL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1</xdr:row>
          <xdr:rowOff>289560</xdr:rowOff>
        </xdr:from>
        <xdr:to>
          <xdr:col>1</xdr:col>
          <xdr:colOff>175260</xdr:colOff>
          <xdr:row>1</xdr:row>
          <xdr:rowOff>518160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REGION CONTROL 1</a:t>
              </a:r>
            </a:p>
          </xdr:txBody>
        </xdr:sp>
        <xdr:clientData/>
      </xdr:twoCellAnchor>
    </mc:Choice>
    <mc:Fallback/>
  </mc:AlternateContent>
  <xdr:twoCellAnchor>
    <xdr:from>
      <xdr:col>12</xdr:col>
      <xdr:colOff>155510</xdr:colOff>
      <xdr:row>8</xdr:row>
      <xdr:rowOff>183502</xdr:rowOff>
    </xdr:from>
    <xdr:to>
      <xdr:col>14</xdr:col>
      <xdr:colOff>101080</xdr:colOff>
      <xdr:row>27</xdr:row>
      <xdr:rowOff>132184</xdr:rowOff>
    </xdr:to>
    <xdr:graphicFrame macro="">
      <xdr:nvGraphicFramePr>
        <xdr:cNvPr id="2" name="Chart 1">
          <a:extLst>
            <a:ext uri="{FF2B5EF4-FFF2-40B4-BE49-F238E27FC236}">
              <a16:creationId xmlns:a16="http://schemas.microsoft.com/office/drawing/2014/main" id="{F42A807F-3223-2BC1-0228-FC5CF35823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243840</xdr:colOff>
          <xdr:row>1</xdr:row>
          <xdr:rowOff>289560</xdr:rowOff>
        </xdr:from>
        <xdr:to>
          <xdr:col>7</xdr:col>
          <xdr:colOff>60960</xdr:colOff>
          <xdr:row>1</xdr:row>
          <xdr:rowOff>510540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REGION CONTROL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CHNEZO" refreshedDate="45675.066587037036" createdVersion="8" refreshedVersion="8" minRefreshableVersion="3" recordCount="30" xr:uid="{448373E7-66AF-4752-844F-06596C8C244A}">
  <cacheSource type="worksheet">
    <worksheetSource name="Table2"/>
  </cacheSource>
  <cacheFields count="13">
    <cacheField name="EMPLOYEE NAME" numFmtId="0">
      <sharedItems count="5">
        <s v="Alex Johnson"/>
        <s v="Jane Smith"/>
        <s v="John Doe"/>
        <s v="Chris Brown"/>
        <s v="Emily Davis"/>
      </sharedItems>
    </cacheField>
    <cacheField name="ID" numFmtId="0">
      <sharedItems count="5">
        <s v="EMP005"/>
        <s v="EMP001"/>
        <s v="EMP002"/>
        <s v="EMP003"/>
        <s v="EMP004"/>
      </sharedItems>
    </cacheField>
    <cacheField name="STATE" numFmtId="0">
      <sharedItems/>
    </cacheField>
    <cacheField name="REGION" numFmtId="0">
      <sharedItems count="5">
        <s v="West"/>
        <s v="Midwest"/>
        <s v="South"/>
        <s v="East"/>
        <s v="Southeast"/>
      </sharedItems>
    </cacheField>
    <cacheField name="WEEK 1 SALE" numFmtId="0">
      <sharedItems containsSemiMixedTypes="0" containsString="0" containsNumber="1" containsInteger="1" minValue="229" maxValue="985"/>
    </cacheField>
    <cacheField name="WEEK 2 SALE" numFmtId="0">
      <sharedItems containsSemiMixedTypes="0" containsString="0" containsNumber="1" containsInteger="1" minValue="201" maxValue="954"/>
    </cacheField>
    <cacheField name="WEEK 3 SALE" numFmtId="0">
      <sharedItems containsSemiMixedTypes="0" containsString="0" containsNumber="1" containsInteger="1" minValue="307" maxValue="963"/>
    </cacheField>
    <cacheField name="WEEK 4 SALE" numFmtId="0">
      <sharedItems containsSemiMixedTypes="0" containsString="0" containsNumber="1" containsInteger="1" minValue="204" maxValue="920"/>
    </cacheField>
    <cacheField name="TOTAL SALE" numFmtId="0">
      <sharedItems containsSemiMixedTypes="0" containsString="0" containsNumber="1" containsInteger="1" minValue="1690" maxValue="3123"/>
    </cacheField>
    <cacheField name="TARGET" numFmtId="0">
      <sharedItems containsSemiMixedTypes="0" containsString="0" containsNumber="1" containsInteger="1" minValue="3022" maxValue="4992"/>
    </cacheField>
    <cacheField name="HIT TARGET" numFmtId="10">
      <sharedItems containsSemiMixedTypes="0" containsString="0" containsNumber="1" minValue="0.38529999999999998" maxValue="0.92020000000000002"/>
    </cacheField>
    <cacheField name="AWAY FROM TARGET (%)" numFmtId="10">
      <sharedItems containsSemiMixedTypes="0" containsString="0" containsNumber="1" minValue="7.9799999999999982E-2" maxValue="0.61470000000000002"/>
    </cacheField>
    <cacheField name="AWAY FROM TARGET" numFmtId="0">
      <sharedItems containsSemiMixedTypes="0" containsString="0" containsNumber="1" containsInteger="1" minValue="268" maxValue="3045"/>
    </cacheField>
  </cacheFields>
  <extLst>
    <ext xmlns:x14="http://schemas.microsoft.com/office/spreadsheetml/2009/9/main" uri="{725AE2AE-9491-48be-B2B4-4EB974FC3084}">
      <x14:pivotCacheDefinition pivotCacheId="5441342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s v="New York"/>
    <x v="0"/>
    <n v="806"/>
    <n v="455"/>
    <n v="886"/>
    <n v="920"/>
    <n v="3067"/>
    <n v="4090"/>
    <n v="0.74990000000000001"/>
    <n v="0.25009999999999999"/>
    <n v="1023"/>
  </r>
  <r>
    <x v="1"/>
    <x v="1"/>
    <s v="New York"/>
    <x v="1"/>
    <n v="985"/>
    <n v="700"/>
    <n v="862"/>
    <n v="204"/>
    <n v="2751"/>
    <n v="4392"/>
    <n v="0.62639999999999996"/>
    <n v="0.37360000000000004"/>
    <n v="1641"/>
  </r>
  <r>
    <x v="1"/>
    <x v="1"/>
    <s v="Texas"/>
    <x v="0"/>
    <n v="635"/>
    <n v="605"/>
    <n v="512"/>
    <n v="607"/>
    <n v="2359"/>
    <n v="4136"/>
    <n v="0.57040000000000002"/>
    <n v="0.42959999999999998"/>
    <n v="1777"/>
  </r>
  <r>
    <x v="1"/>
    <x v="1"/>
    <s v="Texas"/>
    <x v="2"/>
    <n v="229"/>
    <n v="846"/>
    <n v="416"/>
    <n v="829"/>
    <n v="2320"/>
    <n v="3022"/>
    <n v="0.76770000000000005"/>
    <n v="0.23229999999999995"/>
    <n v="702"/>
  </r>
  <r>
    <x v="0"/>
    <x v="0"/>
    <s v="California"/>
    <x v="0"/>
    <n v="244"/>
    <n v="914"/>
    <n v="422"/>
    <n v="329"/>
    <n v="1909"/>
    <n v="4954"/>
    <n v="0.38529999999999998"/>
    <n v="0.61470000000000002"/>
    <n v="3045"/>
  </r>
  <r>
    <x v="1"/>
    <x v="1"/>
    <s v="Texas"/>
    <x v="0"/>
    <n v="238"/>
    <n v="784"/>
    <n v="549"/>
    <n v="576"/>
    <n v="2147"/>
    <n v="3664"/>
    <n v="0.58599999999999997"/>
    <n v="0.41400000000000003"/>
    <n v="1517"/>
  </r>
  <r>
    <x v="0"/>
    <x v="0"/>
    <s v="Texas"/>
    <x v="3"/>
    <n v="605"/>
    <n v="477"/>
    <n v="685"/>
    <n v="481"/>
    <n v="2248"/>
    <n v="3622"/>
    <n v="0.62070000000000003"/>
    <n v="0.37929999999999997"/>
    <n v="1374"/>
  </r>
  <r>
    <x v="2"/>
    <x v="2"/>
    <s v="Texas"/>
    <x v="4"/>
    <n v="933"/>
    <n v="270"/>
    <n v="651"/>
    <n v="300"/>
    <n v="2154"/>
    <n v="3561"/>
    <n v="0.60489999999999999"/>
    <n v="0.39510000000000001"/>
    <n v="1407"/>
  </r>
  <r>
    <x v="1"/>
    <x v="1"/>
    <s v="New York"/>
    <x v="3"/>
    <n v="615"/>
    <n v="638"/>
    <n v="829"/>
    <n v="629"/>
    <n v="2711"/>
    <n v="4389"/>
    <n v="0.61770000000000003"/>
    <n v="0.38229999999999997"/>
    <n v="1678"/>
  </r>
  <r>
    <x v="3"/>
    <x v="3"/>
    <s v="Texas"/>
    <x v="4"/>
    <n v="730"/>
    <n v="605"/>
    <n v="790"/>
    <n v="216"/>
    <n v="2341"/>
    <n v="4839"/>
    <n v="0.48380000000000001"/>
    <n v="0.51619999999999999"/>
    <n v="2498"/>
  </r>
  <r>
    <x v="1"/>
    <x v="1"/>
    <s v="Florida"/>
    <x v="0"/>
    <n v="411"/>
    <n v="394"/>
    <n v="877"/>
    <n v="792"/>
    <n v="2474"/>
    <n v="4594"/>
    <n v="0.53849999999999998"/>
    <n v="0.46150000000000002"/>
    <n v="2120"/>
  </r>
  <r>
    <x v="4"/>
    <x v="4"/>
    <s v="Illinois"/>
    <x v="2"/>
    <n v="414"/>
    <n v="230"/>
    <n v="949"/>
    <n v="848"/>
    <n v="2441"/>
    <n v="3269"/>
    <n v="0.74670000000000003"/>
    <n v="0.25329999999999997"/>
    <n v="828"/>
  </r>
  <r>
    <x v="0"/>
    <x v="0"/>
    <s v="Texas"/>
    <x v="4"/>
    <n v="703"/>
    <n v="830"/>
    <n v="754"/>
    <n v="284"/>
    <n v="2571"/>
    <n v="4888"/>
    <n v="0.52600000000000002"/>
    <n v="0.47399999999999998"/>
    <n v="2317"/>
  </r>
  <r>
    <x v="0"/>
    <x v="0"/>
    <s v="California"/>
    <x v="0"/>
    <n v="977"/>
    <n v="465"/>
    <n v="763"/>
    <n v="242"/>
    <n v="2447"/>
    <n v="3614"/>
    <n v="0.67710000000000004"/>
    <n v="0.32289999999999996"/>
    <n v="1167"/>
  </r>
  <r>
    <x v="2"/>
    <x v="2"/>
    <s v="New York"/>
    <x v="2"/>
    <n v="345"/>
    <n v="455"/>
    <n v="926"/>
    <n v="847"/>
    <n v="2573"/>
    <n v="3572"/>
    <n v="0.72030000000000005"/>
    <n v="0.27969999999999995"/>
    <n v="999"/>
  </r>
  <r>
    <x v="1"/>
    <x v="1"/>
    <s v="California"/>
    <x v="0"/>
    <n v="317"/>
    <n v="758"/>
    <n v="914"/>
    <n v="486"/>
    <n v="2475"/>
    <n v="4514"/>
    <n v="0.54830000000000001"/>
    <n v="0.45169999999999999"/>
    <n v="2039"/>
  </r>
  <r>
    <x v="4"/>
    <x v="4"/>
    <s v="Texas"/>
    <x v="3"/>
    <n v="818"/>
    <n v="201"/>
    <n v="532"/>
    <n v="639"/>
    <n v="2190"/>
    <n v="4812"/>
    <n v="0.4551"/>
    <n v="0.54489999999999994"/>
    <n v="2622"/>
  </r>
  <r>
    <x v="1"/>
    <x v="1"/>
    <s v="Illinois"/>
    <x v="1"/>
    <n v="283"/>
    <n v="379"/>
    <n v="853"/>
    <n v="467"/>
    <n v="1982"/>
    <n v="4234"/>
    <n v="0.46810000000000002"/>
    <n v="0.53190000000000004"/>
    <n v="2252"/>
  </r>
  <r>
    <x v="2"/>
    <x v="2"/>
    <s v="Illinois"/>
    <x v="0"/>
    <n v="596"/>
    <n v="492"/>
    <n v="865"/>
    <n v="816"/>
    <n v="2769"/>
    <n v="4458"/>
    <n v="0.62109999999999999"/>
    <n v="0.37890000000000001"/>
    <n v="1689"/>
  </r>
  <r>
    <x v="2"/>
    <x v="2"/>
    <s v="California"/>
    <x v="4"/>
    <n v="519"/>
    <n v="368"/>
    <n v="653"/>
    <n v="567"/>
    <n v="2107"/>
    <n v="3681"/>
    <n v="0.57240000000000002"/>
    <n v="0.42759999999999998"/>
    <n v="1574"/>
  </r>
  <r>
    <x v="3"/>
    <x v="3"/>
    <s v="Texas"/>
    <x v="1"/>
    <n v="766"/>
    <n v="676"/>
    <n v="944"/>
    <n v="737"/>
    <n v="3123"/>
    <n v="4574"/>
    <n v="0.68279999999999996"/>
    <n v="0.31720000000000004"/>
    <n v="1451"/>
  </r>
  <r>
    <x v="0"/>
    <x v="0"/>
    <s v="Illinois"/>
    <x v="2"/>
    <n v="896"/>
    <n v="751"/>
    <n v="440"/>
    <n v="655"/>
    <n v="2742"/>
    <n v="3611"/>
    <n v="0.75929999999999997"/>
    <n v="0.24070000000000003"/>
    <n v="869"/>
  </r>
  <r>
    <x v="2"/>
    <x v="2"/>
    <s v="Florida"/>
    <x v="1"/>
    <n v="682"/>
    <n v="247"/>
    <n v="392"/>
    <n v="560"/>
    <n v="1881"/>
    <n v="3547"/>
    <n v="0.53029999999999999"/>
    <n v="0.46970000000000001"/>
    <n v="1666"/>
  </r>
  <r>
    <x v="4"/>
    <x v="4"/>
    <s v="Illinois"/>
    <x v="3"/>
    <n v="514"/>
    <n v="348"/>
    <n v="337"/>
    <n v="491"/>
    <n v="1690"/>
    <n v="3147"/>
    <n v="0.53700000000000003"/>
    <n v="0.46299999999999997"/>
    <n v="1457"/>
  </r>
  <r>
    <x v="2"/>
    <x v="2"/>
    <s v="Florida"/>
    <x v="2"/>
    <n v="536"/>
    <n v="773"/>
    <n v="963"/>
    <n v="818"/>
    <n v="3090"/>
    <n v="3358"/>
    <n v="0.92020000000000002"/>
    <n v="7.9799999999999982E-2"/>
    <n v="268"/>
  </r>
  <r>
    <x v="1"/>
    <x v="1"/>
    <s v="New York"/>
    <x v="3"/>
    <n v="378"/>
    <n v="580"/>
    <n v="648"/>
    <n v="414"/>
    <n v="2020"/>
    <n v="4045"/>
    <n v="0.49940000000000001"/>
    <n v="0.50059999999999993"/>
    <n v="2025"/>
  </r>
  <r>
    <x v="1"/>
    <x v="1"/>
    <s v="Florida"/>
    <x v="3"/>
    <n v="318"/>
    <n v="954"/>
    <n v="564"/>
    <n v="229"/>
    <n v="2065"/>
    <n v="4992"/>
    <n v="0.41370000000000001"/>
    <n v="0.58630000000000004"/>
    <n v="2927"/>
  </r>
  <r>
    <x v="0"/>
    <x v="0"/>
    <s v="Illinois"/>
    <x v="4"/>
    <n v="267"/>
    <n v="913"/>
    <n v="307"/>
    <n v="505"/>
    <n v="1992"/>
    <n v="4594"/>
    <n v="0.43359999999999999"/>
    <n v="0.56640000000000001"/>
    <n v="2602"/>
  </r>
  <r>
    <x v="3"/>
    <x v="3"/>
    <s v="Florida"/>
    <x v="4"/>
    <n v="558"/>
    <n v="426"/>
    <n v="659"/>
    <n v="676"/>
    <n v="2319"/>
    <n v="4931"/>
    <n v="0.4703"/>
    <n v="0.52970000000000006"/>
    <n v="2612"/>
  </r>
  <r>
    <x v="2"/>
    <x v="2"/>
    <s v="Texas"/>
    <x v="0"/>
    <n v="833"/>
    <n v="377"/>
    <n v="344"/>
    <n v="340"/>
    <n v="1894"/>
    <n v="3426"/>
    <n v="0.55279999999999996"/>
    <n v="0.44720000000000004"/>
    <n v="15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991591D-6DD4-4473-83E1-E208AF6ABA4E}"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rowHeaderCaption="SALES EXECUTIVE">
  <location ref="G3:H9" firstHeaderRow="1" firstDataRow="1" firstDataCol="1"/>
  <pivotFields count="13">
    <pivotField axis="axisRow" showAll="0" sortType="descending">
      <items count="6">
        <item x="2"/>
        <item x="1"/>
        <item x="4"/>
        <item x="3"/>
        <item x="0"/>
        <item t="default"/>
      </items>
    </pivotField>
    <pivotField showAll="0">
      <items count="6">
        <item x="1"/>
        <item x="2"/>
        <item x="3"/>
        <item x="4"/>
        <item x="0"/>
        <item t="default"/>
      </items>
    </pivotField>
    <pivotField showAll="0"/>
    <pivotField multipleItemSelectionAllowed="1" showAll="0">
      <items count="6">
        <item x="3"/>
        <item h="1" x="1"/>
        <item h="1" x="2"/>
        <item h="1" x="4"/>
        <item h="1" x="0"/>
        <item t="default"/>
      </items>
    </pivotField>
    <pivotField showAll="0"/>
    <pivotField showAll="0"/>
    <pivotField showAll="0"/>
    <pivotField showAll="0"/>
    <pivotField showAll="0"/>
    <pivotField dataField="1" showAll="0"/>
    <pivotField numFmtId="10" showAll="0"/>
    <pivotField numFmtId="10" showAll="0"/>
    <pivotField showAll="0"/>
  </pivotFields>
  <rowFields count="1">
    <field x="0"/>
  </rowFields>
  <rowItems count="6">
    <i>
      <x/>
    </i>
    <i>
      <x v="1"/>
    </i>
    <i>
      <x v="2"/>
    </i>
    <i>
      <x v="3"/>
    </i>
    <i>
      <x v="4"/>
    </i>
    <i t="grand">
      <x/>
    </i>
  </rowItems>
  <colItems count="1">
    <i/>
  </colItems>
  <dataFields count="1">
    <dataField name="Sum of TARGET" fld="9" baseField="0" baseItem="0"/>
  </dataFields>
  <formats count="6">
    <format dxfId="17">
      <pivotArea type="all" dataOnly="0" outline="0" fieldPosition="0"/>
    </format>
    <format dxfId="16">
      <pivotArea outline="0" collapsedLevelsAreSubtotals="1" fieldPosition="0"/>
    </format>
    <format dxfId="15">
      <pivotArea field="0" type="button" dataOnly="0" labelOnly="1" outline="0" axis="axisRow" fieldPosition="0"/>
    </format>
    <format dxfId="14">
      <pivotArea dataOnly="0" labelOnly="1" fieldPosition="0">
        <references count="1">
          <reference field="0" count="4">
            <x v="0"/>
            <x v="1"/>
            <x v="2"/>
            <x v="4"/>
          </reference>
        </references>
      </pivotArea>
    </format>
    <format dxfId="13">
      <pivotArea dataOnly="0" labelOnly="1" grandRow="1" outline="0" fieldPosition="0"/>
    </format>
    <format dxfId="12">
      <pivotArea dataOnly="0" labelOnly="1" outline="0" axis="axisValues" fieldPosition="0"/>
    </format>
  </formats>
  <chartFormats count="1">
    <chartFormat chart="4" format="1"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267BE5B-3A24-4361-9EF8-F14DAB164F33}" name="PivotTable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A3:E9" firstHeaderRow="0" firstDataRow="1" firstDataCol="1"/>
  <pivotFields count="13">
    <pivotField axis="axisRow" showAll="0" sortType="descending">
      <items count="6">
        <item x="2"/>
        <item x="1"/>
        <item x="4"/>
        <item x="3"/>
        <item x="0"/>
        <item t="default"/>
      </items>
    </pivotField>
    <pivotField showAll="0">
      <items count="6">
        <item x="1"/>
        <item x="2"/>
        <item x="3"/>
        <item x="4"/>
        <item x="0"/>
        <item t="default"/>
      </items>
    </pivotField>
    <pivotField showAll="0"/>
    <pivotField multipleItemSelectionAllowed="1" showAll="0">
      <items count="6">
        <item h="1" x="3"/>
        <item h="1" x="1"/>
        <item x="2"/>
        <item h="1" x="4"/>
        <item h="1" x="0"/>
        <item t="default"/>
      </items>
    </pivotField>
    <pivotField dataField="1" showAll="0"/>
    <pivotField dataField="1" showAll="0"/>
    <pivotField dataField="1" showAll="0"/>
    <pivotField dataField="1" showAll="0"/>
    <pivotField showAll="0"/>
    <pivotField showAll="0"/>
    <pivotField numFmtId="10" showAll="0"/>
    <pivotField numFmtId="10" showAll="0"/>
    <pivotField showAll="0"/>
  </pivotFields>
  <rowFields count="1">
    <field x="0"/>
  </rowFields>
  <rowItems count="6">
    <i>
      <x/>
    </i>
    <i>
      <x v="1"/>
    </i>
    <i>
      <x v="2"/>
    </i>
    <i>
      <x v="3"/>
    </i>
    <i>
      <x v="4"/>
    </i>
    <i t="grand">
      <x/>
    </i>
  </rowItems>
  <colFields count="1">
    <field x="-2"/>
  </colFields>
  <colItems count="4">
    <i>
      <x/>
    </i>
    <i i="1">
      <x v="1"/>
    </i>
    <i i="2">
      <x v="2"/>
    </i>
    <i i="3">
      <x v="3"/>
    </i>
  </colItems>
  <dataFields count="4">
    <dataField name="WEEK 1 SALE " fld="4" baseField="0" baseItem="0"/>
    <dataField name="WEEK 2 SALE " fld="5" baseField="0" baseItem="0"/>
    <dataField name="WEEK 3 SALE " fld="6" baseField="0" baseItem="0"/>
    <dataField name="WEEK 4 SALE " fld="7" baseField="0" baseItem="0"/>
  </dataFields>
  <formats count="6">
    <format dxfId="23">
      <pivotArea type="all" dataOnly="0" outline="0" fieldPosition="0"/>
    </format>
    <format dxfId="22">
      <pivotArea outline="0" collapsedLevelsAreSubtotals="1" fieldPosition="0"/>
    </format>
    <format dxfId="21">
      <pivotArea field="0" type="button" dataOnly="0" labelOnly="1" outline="0" axis="axisRow" fieldPosition="0"/>
    </format>
    <format dxfId="20">
      <pivotArea dataOnly="0" labelOnly="1" fieldPosition="0">
        <references count="1">
          <reference field="0" count="4">
            <x v="0"/>
            <x v="1"/>
            <x v="2"/>
            <x v="4"/>
          </reference>
        </references>
      </pivotArea>
    </format>
    <format dxfId="19">
      <pivotArea dataOnly="0" labelOnly="1" grandRow="1" outline="0" fieldPosition="0"/>
    </format>
    <format dxfId="18">
      <pivotArea dataOnly="0" labelOnly="1" outline="0" fieldPosition="0">
        <references count="1">
          <reference field="4294967294" count="4">
            <x v="0"/>
            <x v="1"/>
            <x v="2"/>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C35A3EE-FD2B-4AED-85B0-65F92A8F6E1D}"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9" rowHeaderCaption="SALES EXECUTIVE">
  <location ref="M3:N8" firstHeaderRow="1" firstDataRow="1" firstDataCol="1"/>
  <pivotFields count="13">
    <pivotField axis="axisRow" showAll="0" sortType="descending">
      <items count="6">
        <item x="2"/>
        <item x="1"/>
        <item x="4"/>
        <item x="3"/>
        <item x="0"/>
        <item t="default"/>
      </items>
    </pivotField>
    <pivotField showAll="0">
      <items count="6">
        <item x="1"/>
        <item x="2"/>
        <item x="3"/>
        <item x="4"/>
        <item x="0"/>
        <item t="default"/>
      </items>
    </pivotField>
    <pivotField showAll="0"/>
    <pivotField showAll="0">
      <items count="6">
        <item h="1" x="3"/>
        <item x="1"/>
        <item h="1" x="2"/>
        <item h="1" x="4"/>
        <item h="1" x="0"/>
        <item t="default"/>
      </items>
    </pivotField>
    <pivotField showAll="0"/>
    <pivotField showAll="0"/>
    <pivotField showAll="0"/>
    <pivotField showAll="0"/>
    <pivotField showAll="0"/>
    <pivotField showAll="0"/>
    <pivotField numFmtId="10" showAll="0"/>
    <pivotField numFmtId="10" showAll="0"/>
    <pivotField dataField="1" showAll="0"/>
  </pivotFields>
  <rowFields count="1">
    <field x="0"/>
  </rowFields>
  <rowItems count="5">
    <i>
      <x/>
    </i>
    <i>
      <x v="1"/>
    </i>
    <i>
      <x v="2"/>
    </i>
    <i>
      <x v="3"/>
    </i>
    <i>
      <x v="4"/>
    </i>
  </rowItems>
  <colItems count="1">
    <i/>
  </colItems>
  <dataFields count="1">
    <dataField name="AWAY FROM TARGET " fld="12" baseField="0" baseItem="0"/>
  </dataFields>
  <chartFormats count="6">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0" count="1" selected="0">
            <x v="0"/>
          </reference>
        </references>
      </pivotArea>
    </chartFormat>
    <chartFormat chart="2" format="3">
      <pivotArea type="data" outline="0" fieldPosition="0">
        <references count="2">
          <reference field="4294967294" count="1" selected="0">
            <x v="0"/>
          </reference>
          <reference field="0" count="1" selected="0">
            <x v="1"/>
          </reference>
        </references>
      </pivotArea>
    </chartFormat>
    <chartFormat chart="2" format="4">
      <pivotArea type="data" outline="0" fieldPosition="0">
        <references count="2">
          <reference field="4294967294" count="1" selected="0">
            <x v="0"/>
          </reference>
          <reference field="0" count="1" selected="0">
            <x v="2"/>
          </reference>
        </references>
      </pivotArea>
    </chartFormat>
    <chartFormat chart="2" format="5">
      <pivotArea type="data" outline="0" fieldPosition="0">
        <references count="2">
          <reference field="4294967294" count="1" selected="0">
            <x v="0"/>
          </reference>
          <reference field="0" count="1" selected="0">
            <x v="3"/>
          </reference>
        </references>
      </pivotArea>
    </chartFormat>
    <chartFormat chart="2" format="6">
      <pivotArea type="data" outline="0" fieldPosition="0">
        <references count="2">
          <reference field="4294967294" count="1" selected="0">
            <x v="0"/>
          </reference>
          <reference field="0" count="1" selected="0">
            <x v="4"/>
          </reference>
        </references>
      </pivotArea>
    </chartFormat>
  </chart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E74E993-878A-4E9B-AD08-81582C715142}"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J3:K8" firstHeaderRow="1" firstDataRow="1" firstDataCol="1"/>
  <pivotFields count="13">
    <pivotField axis="axisRow" showAll="0" sortType="descending">
      <items count="6">
        <item x="2"/>
        <item x="1"/>
        <item x="4"/>
        <item x="3"/>
        <item x="0"/>
        <item t="default"/>
      </items>
    </pivotField>
    <pivotField showAll="0">
      <items count="6">
        <item x="1"/>
        <item x="2"/>
        <item x="3"/>
        <item x="4"/>
        <item x="0"/>
        <item t="default"/>
      </items>
    </pivotField>
    <pivotField showAll="0"/>
    <pivotField showAll="0">
      <items count="6">
        <item h="1" x="3"/>
        <item x="1"/>
        <item h="1" x="2"/>
        <item h="1" x="4"/>
        <item h="1" x="0"/>
        <item t="default"/>
      </items>
    </pivotField>
    <pivotField showAll="0"/>
    <pivotField showAll="0"/>
    <pivotField showAll="0"/>
    <pivotField showAll="0"/>
    <pivotField dataField="1" showAll="0"/>
    <pivotField showAll="0"/>
    <pivotField numFmtId="10" showAll="0"/>
    <pivotField numFmtId="10" showAll="0"/>
    <pivotField showAll="0"/>
  </pivotFields>
  <rowFields count="1">
    <field x="0"/>
  </rowFields>
  <rowItems count="5">
    <i>
      <x/>
    </i>
    <i>
      <x v="1"/>
    </i>
    <i>
      <x v="2"/>
    </i>
    <i>
      <x v="3"/>
    </i>
    <i>
      <x v="4"/>
    </i>
  </rowItems>
  <colItems count="1">
    <i/>
  </colItems>
  <dataFields count="1">
    <dataField name="Sum of TOTAL SALE" fld="8" baseField="0" baseItem="0"/>
  </dataFields>
  <chartFormats count="6">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0" count="1" selected="0">
            <x v="0"/>
          </reference>
        </references>
      </pivotArea>
    </chartFormat>
    <chartFormat chart="2" format="8">
      <pivotArea type="data" outline="0" fieldPosition="0">
        <references count="2">
          <reference field="4294967294" count="1" selected="0">
            <x v="0"/>
          </reference>
          <reference field="0" count="1" selected="0">
            <x v="1"/>
          </reference>
        </references>
      </pivotArea>
    </chartFormat>
    <chartFormat chart="2" format="9">
      <pivotArea type="data" outline="0" fieldPosition="0">
        <references count="2">
          <reference field="4294967294" count="1" selected="0">
            <x v="0"/>
          </reference>
          <reference field="0" count="1" selected="0">
            <x v="2"/>
          </reference>
        </references>
      </pivotArea>
    </chartFormat>
    <chartFormat chart="2" format="10">
      <pivotArea type="data" outline="0" fieldPosition="0">
        <references count="2">
          <reference field="4294967294" count="1" selected="0">
            <x v="0"/>
          </reference>
          <reference field="0" count="1" selected="0">
            <x v="3"/>
          </reference>
        </references>
      </pivotArea>
    </chartFormat>
    <chartFormat chart="2" format="11">
      <pivotArea type="data" outline="0" fieldPosition="0">
        <references count="2">
          <reference field="4294967294" count="1" selected="0">
            <x v="0"/>
          </reference>
          <reference field="0" count="1" selected="0">
            <x v="4"/>
          </reference>
        </references>
      </pivotArea>
    </chartFormat>
  </chartFormats>
  <pivotTableStyleInfo name="PivotStyleDark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E4034B6-55D1-4FEE-9221-8B731C15D470}" sourceName="REGION">
  <data>
    <tabular pivotCacheId="544134269">
      <items count="5">
        <i x="3"/>
        <i x="1" s="1"/>
        <i x="2"/>
        <i x="4"/>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3C40733-F2BA-4D24-8668-FAEE44ED5544}" cache="Slicer_REGION" caption="REGION" columnCount="5" showCaption="0" style="Slicer Style 1"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E216EC-A080-49B5-B43E-C4BB9355E508}" name="Table2" displayName="Table2" ref="A1:M31" totalsRowShown="0" headerRowDxfId="40" headerRowBorderDxfId="39" tableBorderDxfId="38" totalsRowBorderDxfId="37">
  <tableColumns count="13">
    <tableColumn id="1" xr3:uid="{9C1867F8-5ABB-4EA3-9102-45223D571FBE}" name="EMPLOYEE NAME" dataDxfId="36"/>
    <tableColumn id="2" xr3:uid="{599643A1-2CF5-46B8-ADC8-1B6F5EBE0D4D}" name="ID" dataDxfId="35"/>
    <tableColumn id="3" xr3:uid="{EE73B395-C13D-4875-A0FA-C2576DC990C4}" name="STATE" dataDxfId="34"/>
    <tableColumn id="4" xr3:uid="{494FCDA0-4737-41AD-856D-0835C7EA8C1C}" name="REGION" dataDxfId="33"/>
    <tableColumn id="5" xr3:uid="{78C88D1C-F488-4451-A389-BBE1BC95516C}" name="WEEK 1 SALE" dataDxfId="32"/>
    <tableColumn id="6" xr3:uid="{3CE63B72-6394-4475-8C54-982650F9E13B}" name="WEEK 2 SALE" dataDxfId="31"/>
    <tableColumn id="7" xr3:uid="{53301C67-671B-4BC0-BF85-63E7FC27BDD1}" name="WEEK 3 SALE" dataDxfId="30"/>
    <tableColumn id="8" xr3:uid="{17ECA134-961A-4763-8BAF-F235C930D514}" name="WEEK 4 SALE" dataDxfId="29"/>
    <tableColumn id="9" xr3:uid="{6868046C-4682-41DC-B0A3-80EC11E7F20C}" name="TOTAL SALE" dataDxfId="28">
      <calculatedColumnFormula>SUM(Table2[[#This Row],[WEEK 1 SALE]:[WEEK 4 SALE]])</calculatedColumnFormula>
    </tableColumn>
    <tableColumn id="10" xr3:uid="{4852789C-B36C-469B-9E6C-B9305D76CBC2}" name="TARGET" dataDxfId="27"/>
    <tableColumn id="11" xr3:uid="{0D5272E5-59C7-4D96-895E-67E182DC962B}" name="HIT TARGET" dataDxfId="26">
      <calculatedColumnFormula>(Table2[[#This Row],[TOTAL SALE]]/Table2[[#This Row],[TARGET]])</calculatedColumnFormula>
    </tableColumn>
    <tableColumn id="13" xr3:uid="{D6D2047C-4C4F-44A7-A5D6-76F8F6AE7C55}" name="AWAY FROM TARGET (%)" dataDxfId="25">
      <calculatedColumnFormula>100%-Table2[[#This Row],[HIT TARGET]]</calculatedColumnFormula>
    </tableColumn>
    <tableColumn id="12" xr3:uid="{5B7E570A-AC31-44E1-B288-403C7E95A252}" name="AWAY FROM TARGET" dataDxfId="24">
      <calculatedColumnFormula>Table2[[#This Row],[TARGET]]-Table2[[#This Row],[TOTAL SALE]]</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36"/>
  <sheetViews>
    <sheetView workbookViewId="0">
      <selection activeCell="D3" sqref="D3"/>
    </sheetView>
  </sheetViews>
  <sheetFormatPr defaultRowHeight="14.4" x14ac:dyDescent="0.3"/>
  <sheetData>
    <row r="1" spans="1:1" x14ac:dyDescent="0.3">
      <c r="A1" s="1" t="s">
        <v>0</v>
      </c>
    </row>
    <row r="2" spans="1:1" x14ac:dyDescent="0.3">
      <c r="A2" t="s">
        <v>1</v>
      </c>
    </row>
    <row r="3" spans="1:1" x14ac:dyDescent="0.3">
      <c r="A3" t="s">
        <v>2</v>
      </c>
    </row>
    <row r="4" spans="1:1" x14ac:dyDescent="0.3">
      <c r="A4" t="s">
        <v>3</v>
      </c>
    </row>
    <row r="5" spans="1:1" x14ac:dyDescent="0.3">
      <c r="A5" t="s">
        <v>4</v>
      </c>
    </row>
    <row r="6" spans="1:1" x14ac:dyDescent="0.3">
      <c r="A6" t="s">
        <v>5</v>
      </c>
    </row>
    <row r="7" spans="1:1" x14ac:dyDescent="0.3">
      <c r="A7" t="s">
        <v>6</v>
      </c>
    </row>
    <row r="8" spans="1:1" x14ac:dyDescent="0.3">
      <c r="A8" t="s">
        <v>7</v>
      </c>
    </row>
    <row r="9" spans="1:1" x14ac:dyDescent="0.3">
      <c r="A9" t="s">
        <v>8</v>
      </c>
    </row>
    <row r="10" spans="1:1" x14ac:dyDescent="0.3">
      <c r="A10" t="s">
        <v>9</v>
      </c>
    </row>
    <row r="11" spans="1:1" x14ac:dyDescent="0.3">
      <c r="A11" t="s">
        <v>10</v>
      </c>
    </row>
    <row r="12" spans="1:1" x14ac:dyDescent="0.3">
      <c r="A12" t="s">
        <v>11</v>
      </c>
    </row>
    <row r="13" spans="1:1" x14ac:dyDescent="0.3">
      <c r="A13" t="s">
        <v>12</v>
      </c>
    </row>
    <row r="14" spans="1:1" x14ac:dyDescent="0.3">
      <c r="A14" t="s">
        <v>13</v>
      </c>
    </row>
    <row r="15" spans="1:1" x14ac:dyDescent="0.3">
      <c r="A15" t="s">
        <v>14</v>
      </c>
    </row>
    <row r="16" spans="1:1" x14ac:dyDescent="0.3">
      <c r="A16" t="s">
        <v>15</v>
      </c>
    </row>
    <row r="17" spans="1:1" x14ac:dyDescent="0.3">
      <c r="A17" t="s">
        <v>16</v>
      </c>
    </row>
    <row r="18" spans="1:1" x14ac:dyDescent="0.3">
      <c r="A18" t="s">
        <v>17</v>
      </c>
    </row>
    <row r="19" spans="1:1" x14ac:dyDescent="0.3">
      <c r="A19" t="s">
        <v>18</v>
      </c>
    </row>
    <row r="20" spans="1:1" x14ac:dyDescent="0.3">
      <c r="A20" t="s">
        <v>19</v>
      </c>
    </row>
    <row r="21" spans="1:1" x14ac:dyDescent="0.3">
      <c r="A21" t="s">
        <v>20</v>
      </c>
    </row>
    <row r="22" spans="1:1" x14ac:dyDescent="0.3">
      <c r="A22" t="s">
        <v>21</v>
      </c>
    </row>
    <row r="23" spans="1:1" x14ac:dyDescent="0.3">
      <c r="A23" t="s">
        <v>22</v>
      </c>
    </row>
    <row r="24" spans="1:1" x14ac:dyDescent="0.3">
      <c r="A24" t="s">
        <v>23</v>
      </c>
    </row>
    <row r="25" spans="1:1" x14ac:dyDescent="0.3">
      <c r="A25" t="s">
        <v>24</v>
      </c>
    </row>
    <row r="26" spans="1:1" x14ac:dyDescent="0.3">
      <c r="A26" t="s">
        <v>25</v>
      </c>
    </row>
    <row r="27" spans="1:1" x14ac:dyDescent="0.3">
      <c r="A27" t="s">
        <v>26</v>
      </c>
    </row>
    <row r="28" spans="1:1" x14ac:dyDescent="0.3">
      <c r="A28" t="s">
        <v>27</v>
      </c>
    </row>
    <row r="29" spans="1:1" x14ac:dyDescent="0.3">
      <c r="A29" t="s">
        <v>28</v>
      </c>
    </row>
    <row r="30" spans="1:1" x14ac:dyDescent="0.3">
      <c r="A30" t="s">
        <v>29</v>
      </c>
    </row>
    <row r="31" spans="1:1" x14ac:dyDescent="0.3">
      <c r="A31" t="s">
        <v>30</v>
      </c>
    </row>
    <row r="32" spans="1:1" x14ac:dyDescent="0.3">
      <c r="A32" t="s">
        <v>13</v>
      </c>
    </row>
    <row r="33" spans="1:1" x14ac:dyDescent="0.3">
      <c r="A33" t="s">
        <v>17</v>
      </c>
    </row>
    <row r="34" spans="1:1" x14ac:dyDescent="0.3">
      <c r="A34" t="s">
        <v>3</v>
      </c>
    </row>
    <row r="35" spans="1:1" x14ac:dyDescent="0.3">
      <c r="A35" t="s">
        <v>27</v>
      </c>
    </row>
    <row r="36" spans="1:1" x14ac:dyDescent="0.3">
      <c r="A36" t="s">
        <v>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AAB2D-9604-4E65-B2E3-7BE171967862}">
  <sheetPr codeName="Sheet2"/>
  <dimension ref="A1:M31"/>
  <sheetViews>
    <sheetView workbookViewId="0">
      <selection activeCell="M2" sqref="M2"/>
    </sheetView>
  </sheetViews>
  <sheetFormatPr defaultRowHeight="14.4" x14ac:dyDescent="0.3"/>
  <cols>
    <col min="1" max="1" width="17.5546875" bestFit="1" customWidth="1"/>
    <col min="2" max="2" width="7.6640625" bestFit="1" customWidth="1"/>
    <col min="3" max="3" width="8.88671875" bestFit="1" customWidth="1"/>
    <col min="4" max="4" width="9.109375" bestFit="1" customWidth="1"/>
    <col min="5" max="8" width="13.109375" bestFit="1" customWidth="1"/>
    <col min="9" max="9" width="11.88671875" bestFit="1" customWidth="1"/>
    <col min="10" max="10" width="8.33203125" bestFit="1" customWidth="1"/>
    <col min="11" max="11" width="12" bestFit="1" customWidth="1"/>
    <col min="12" max="12" width="24.77734375" bestFit="1" customWidth="1"/>
    <col min="13" max="13" width="21.109375" bestFit="1" customWidth="1"/>
    <col min="16" max="16" width="10.77734375" bestFit="1" customWidth="1"/>
  </cols>
  <sheetData>
    <row r="1" spans="1:13" s="9" customFormat="1" ht="25.2" customHeight="1" x14ac:dyDescent="0.3">
      <c r="A1" s="6" t="s">
        <v>51</v>
      </c>
      <c r="B1" s="7" t="s">
        <v>52</v>
      </c>
      <c r="C1" s="7" t="s">
        <v>62</v>
      </c>
      <c r="D1" s="7" t="s">
        <v>53</v>
      </c>
      <c r="E1" s="7" t="s">
        <v>54</v>
      </c>
      <c r="F1" s="7" t="s">
        <v>55</v>
      </c>
      <c r="G1" s="7" t="s">
        <v>56</v>
      </c>
      <c r="H1" s="7" t="s">
        <v>57</v>
      </c>
      <c r="I1" s="7" t="s">
        <v>58</v>
      </c>
      <c r="J1" s="7" t="s">
        <v>59</v>
      </c>
      <c r="K1" s="7" t="s">
        <v>60</v>
      </c>
      <c r="L1" s="8" t="s">
        <v>63</v>
      </c>
      <c r="M1" s="8" t="s">
        <v>61</v>
      </c>
    </row>
    <row r="2" spans="1:13" x14ac:dyDescent="0.3">
      <c r="A2" s="2" t="s">
        <v>31</v>
      </c>
      <c r="B2" s="3" t="s">
        <v>32</v>
      </c>
      <c r="C2" s="3" t="s">
        <v>33</v>
      </c>
      <c r="D2" s="3" t="s">
        <v>34</v>
      </c>
      <c r="E2" s="3">
        <v>700</v>
      </c>
      <c r="F2" s="3">
        <v>455</v>
      </c>
      <c r="G2" s="3">
        <v>920</v>
      </c>
      <c r="H2" s="3">
        <v>925</v>
      </c>
      <c r="I2" s="3">
        <f>SUM(Table2[[#This Row],[WEEK 1 SALE]:[WEEK 4 SALE]])</f>
        <v>3000</v>
      </c>
      <c r="J2" s="3">
        <v>6000</v>
      </c>
      <c r="K2" s="4">
        <f>(Table2[[#This Row],[TOTAL SALE]]/Table2[[#This Row],[TARGET]])</f>
        <v>0.5</v>
      </c>
      <c r="L2" s="10">
        <f>100%-Table2[[#This Row],[HIT TARGET]]</f>
        <v>0.5</v>
      </c>
      <c r="M2" s="5">
        <f>Table2[[#This Row],[TARGET]]-Table2[[#This Row],[TOTAL SALE]]</f>
        <v>3000</v>
      </c>
    </row>
    <row r="3" spans="1:13" x14ac:dyDescent="0.3">
      <c r="A3" s="2" t="s">
        <v>35</v>
      </c>
      <c r="B3" s="3" t="s">
        <v>36</v>
      </c>
      <c r="C3" s="3" t="s">
        <v>33</v>
      </c>
      <c r="D3" s="3" t="s">
        <v>37</v>
      </c>
      <c r="E3" s="3">
        <v>985</v>
      </c>
      <c r="F3" s="3">
        <v>700</v>
      </c>
      <c r="G3" s="3">
        <v>862</v>
      </c>
      <c r="H3" s="3">
        <v>204</v>
      </c>
      <c r="I3" s="3">
        <f>SUM(Table2[[#This Row],[WEEK 1 SALE]:[WEEK 4 SALE]])</f>
        <v>2751</v>
      </c>
      <c r="J3" s="3">
        <v>4392</v>
      </c>
      <c r="K3" s="4">
        <f>(Table2[[#This Row],[TOTAL SALE]]/Table2[[#This Row],[TARGET]])</f>
        <v>0.62636612021857918</v>
      </c>
      <c r="L3" s="10">
        <f>100%-Table2[[#This Row],[HIT TARGET]]</f>
        <v>0.37363387978142082</v>
      </c>
      <c r="M3" s="5">
        <f>Table2[[#This Row],[TARGET]]-Table2[[#This Row],[TOTAL SALE]]</f>
        <v>1641</v>
      </c>
    </row>
    <row r="4" spans="1:13" x14ac:dyDescent="0.3">
      <c r="A4" s="2" t="s">
        <v>35</v>
      </c>
      <c r="B4" s="3" t="s">
        <v>36</v>
      </c>
      <c r="C4" s="3" t="s">
        <v>39</v>
      </c>
      <c r="D4" s="3" t="s">
        <v>34</v>
      </c>
      <c r="E4" s="3">
        <v>635</v>
      </c>
      <c r="F4" s="3">
        <v>605</v>
      </c>
      <c r="G4" s="3">
        <v>512</v>
      </c>
      <c r="H4" s="3">
        <v>607</v>
      </c>
      <c r="I4" s="3">
        <f>SUM(Table2[[#This Row],[WEEK 1 SALE]:[WEEK 4 SALE]])</f>
        <v>2359</v>
      </c>
      <c r="J4" s="3">
        <v>4136</v>
      </c>
      <c r="K4" s="4">
        <f>(Table2[[#This Row],[TOTAL SALE]]/Table2[[#This Row],[TARGET]])</f>
        <v>0.57035783365570603</v>
      </c>
      <c r="L4" s="10">
        <f>100%-Table2[[#This Row],[HIT TARGET]]</f>
        <v>0.42964216634429397</v>
      </c>
      <c r="M4" s="5">
        <f>Table2[[#This Row],[TARGET]]-Table2[[#This Row],[TOTAL SALE]]</f>
        <v>1777</v>
      </c>
    </row>
    <row r="5" spans="1:13" x14ac:dyDescent="0.3">
      <c r="A5" s="2" t="s">
        <v>35</v>
      </c>
      <c r="B5" s="3" t="s">
        <v>36</v>
      </c>
      <c r="C5" s="3" t="s">
        <v>39</v>
      </c>
      <c r="D5" s="3" t="s">
        <v>41</v>
      </c>
      <c r="E5" s="3">
        <v>229</v>
      </c>
      <c r="F5" s="3">
        <v>846</v>
      </c>
      <c r="G5" s="3">
        <v>416</v>
      </c>
      <c r="H5" s="3">
        <v>829</v>
      </c>
      <c r="I5" s="3">
        <f>SUM(Table2[[#This Row],[WEEK 1 SALE]:[WEEK 4 SALE]])</f>
        <v>2320</v>
      </c>
      <c r="J5" s="3">
        <v>3022</v>
      </c>
      <c r="K5" s="4">
        <f>(Table2[[#This Row],[TOTAL SALE]]/Table2[[#This Row],[TARGET]])</f>
        <v>0.76770350761085371</v>
      </c>
      <c r="L5" s="10">
        <f>100%-Table2[[#This Row],[HIT TARGET]]</f>
        <v>0.23229649238914629</v>
      </c>
      <c r="M5" s="5">
        <f>Table2[[#This Row],[TARGET]]-Table2[[#This Row],[TOTAL SALE]]</f>
        <v>702</v>
      </c>
    </row>
    <row r="6" spans="1:13" x14ac:dyDescent="0.3">
      <c r="A6" s="2" t="s">
        <v>31</v>
      </c>
      <c r="B6" s="3" t="s">
        <v>32</v>
      </c>
      <c r="C6" s="3" t="s">
        <v>42</v>
      </c>
      <c r="D6" s="3" t="s">
        <v>34</v>
      </c>
      <c r="E6" s="3">
        <v>244</v>
      </c>
      <c r="F6" s="3">
        <v>914</v>
      </c>
      <c r="G6" s="3">
        <v>422</v>
      </c>
      <c r="H6" s="3">
        <v>329</v>
      </c>
      <c r="I6" s="3">
        <f>SUM(Table2[[#This Row],[WEEK 1 SALE]:[WEEK 4 SALE]])</f>
        <v>1909</v>
      </c>
      <c r="J6" s="3">
        <v>4954</v>
      </c>
      <c r="K6" s="4">
        <f>(Table2[[#This Row],[TOTAL SALE]]/Table2[[#This Row],[TARGET]])</f>
        <v>0.38534517561566412</v>
      </c>
      <c r="L6" s="10">
        <f>100%-Table2[[#This Row],[HIT TARGET]]</f>
        <v>0.61465482438433594</v>
      </c>
      <c r="M6" s="5">
        <f>Table2[[#This Row],[TARGET]]-Table2[[#This Row],[TOTAL SALE]]</f>
        <v>3045</v>
      </c>
    </row>
    <row r="7" spans="1:13" x14ac:dyDescent="0.3">
      <c r="A7" s="2" t="s">
        <v>35</v>
      </c>
      <c r="B7" s="3" t="s">
        <v>36</v>
      </c>
      <c r="C7" s="3" t="s">
        <v>39</v>
      </c>
      <c r="D7" s="3" t="s">
        <v>34</v>
      </c>
      <c r="E7" s="3">
        <v>238</v>
      </c>
      <c r="F7" s="3">
        <v>784</v>
      </c>
      <c r="G7" s="3">
        <v>549</v>
      </c>
      <c r="H7" s="3">
        <v>576</v>
      </c>
      <c r="I7" s="3">
        <f>SUM(Table2[[#This Row],[WEEK 1 SALE]:[WEEK 4 SALE]])</f>
        <v>2147</v>
      </c>
      <c r="J7" s="3">
        <v>3664</v>
      </c>
      <c r="K7" s="4">
        <f>(Table2[[#This Row],[TOTAL SALE]]/Table2[[#This Row],[TARGET]])</f>
        <v>0.58597161572052403</v>
      </c>
      <c r="L7" s="10">
        <f>100%-Table2[[#This Row],[HIT TARGET]]</f>
        <v>0.41402838427947597</v>
      </c>
      <c r="M7" s="5">
        <f>Table2[[#This Row],[TARGET]]-Table2[[#This Row],[TOTAL SALE]]</f>
        <v>1517</v>
      </c>
    </row>
    <row r="8" spans="1:13" x14ac:dyDescent="0.3">
      <c r="A8" s="2" t="s">
        <v>31</v>
      </c>
      <c r="B8" s="3" t="s">
        <v>32</v>
      </c>
      <c r="C8" s="3" t="s">
        <v>39</v>
      </c>
      <c r="D8" s="3" t="s">
        <v>44</v>
      </c>
      <c r="E8" s="3">
        <v>605</v>
      </c>
      <c r="F8" s="3">
        <v>600</v>
      </c>
      <c r="G8" s="3">
        <v>685</v>
      </c>
      <c r="H8" s="3">
        <v>481</v>
      </c>
      <c r="I8" s="3">
        <f>SUM(Table2[[#This Row],[WEEK 1 SALE]:[WEEK 4 SALE]])</f>
        <v>2371</v>
      </c>
      <c r="J8" s="3">
        <v>3622</v>
      </c>
      <c r="K8" s="4">
        <f>(Table2[[#This Row],[TOTAL SALE]]/Table2[[#This Row],[TARGET]])</f>
        <v>0.65461071231363888</v>
      </c>
      <c r="L8" s="10">
        <f>100%-Table2[[#This Row],[HIT TARGET]]</f>
        <v>0.34538928768636112</v>
      </c>
      <c r="M8" s="5">
        <f>Table2[[#This Row],[TARGET]]-Table2[[#This Row],[TOTAL SALE]]</f>
        <v>1251</v>
      </c>
    </row>
    <row r="9" spans="1:13" x14ac:dyDescent="0.3">
      <c r="A9" s="2" t="s">
        <v>45</v>
      </c>
      <c r="B9" s="3" t="s">
        <v>38</v>
      </c>
      <c r="C9" s="3" t="s">
        <v>39</v>
      </c>
      <c r="D9" s="3" t="s">
        <v>46</v>
      </c>
      <c r="E9" s="3">
        <v>933</v>
      </c>
      <c r="F9" s="3">
        <v>270</v>
      </c>
      <c r="G9" s="3">
        <v>651</v>
      </c>
      <c r="H9" s="3">
        <v>300</v>
      </c>
      <c r="I9" s="3">
        <f>SUM(Table2[[#This Row],[WEEK 1 SALE]:[WEEK 4 SALE]])</f>
        <v>2154</v>
      </c>
      <c r="J9" s="3">
        <v>3561</v>
      </c>
      <c r="K9" s="4">
        <f>(Table2[[#This Row],[TOTAL SALE]]/Table2[[#This Row],[TARGET]])</f>
        <v>0.60488626790227462</v>
      </c>
      <c r="L9" s="10">
        <f>100%-Table2[[#This Row],[HIT TARGET]]</f>
        <v>0.39511373209772538</v>
      </c>
      <c r="M9" s="5">
        <f>Table2[[#This Row],[TARGET]]-Table2[[#This Row],[TOTAL SALE]]</f>
        <v>1407</v>
      </c>
    </row>
    <row r="10" spans="1:13" x14ac:dyDescent="0.3">
      <c r="A10" s="2" t="s">
        <v>35</v>
      </c>
      <c r="B10" s="3" t="s">
        <v>36</v>
      </c>
      <c r="C10" s="3" t="s">
        <v>33</v>
      </c>
      <c r="D10" s="3" t="s">
        <v>44</v>
      </c>
      <c r="E10" s="3">
        <v>615</v>
      </c>
      <c r="F10" s="3">
        <v>1730</v>
      </c>
      <c r="G10" s="3">
        <v>829</v>
      </c>
      <c r="H10" s="3">
        <v>629</v>
      </c>
      <c r="I10" s="3">
        <f>SUM(Table2[[#This Row],[WEEK 1 SALE]:[WEEK 4 SALE]])</f>
        <v>3803</v>
      </c>
      <c r="J10" s="3">
        <v>4389</v>
      </c>
      <c r="K10" s="4">
        <f>(Table2[[#This Row],[TOTAL SALE]]/Table2[[#This Row],[TARGET]])</f>
        <v>0.8664843928001823</v>
      </c>
      <c r="L10" s="10">
        <f>100%-Table2[[#This Row],[HIT TARGET]]</f>
        <v>0.1335156071998177</v>
      </c>
      <c r="M10" s="5">
        <f>Table2[[#This Row],[TARGET]]-Table2[[#This Row],[TOTAL SALE]]</f>
        <v>586</v>
      </c>
    </row>
    <row r="11" spans="1:13" x14ac:dyDescent="0.3">
      <c r="A11" s="2" t="s">
        <v>47</v>
      </c>
      <c r="B11" s="3" t="s">
        <v>43</v>
      </c>
      <c r="C11" s="3" t="s">
        <v>39</v>
      </c>
      <c r="D11" s="3" t="s">
        <v>46</v>
      </c>
      <c r="E11" s="3">
        <v>730</v>
      </c>
      <c r="F11" s="3">
        <v>605</v>
      </c>
      <c r="G11" s="3">
        <v>790</v>
      </c>
      <c r="H11" s="3">
        <v>216</v>
      </c>
      <c r="I11" s="3">
        <f>SUM(Table2[[#This Row],[WEEK 1 SALE]:[WEEK 4 SALE]])</f>
        <v>2341</v>
      </c>
      <c r="J11" s="3">
        <v>4839</v>
      </c>
      <c r="K11" s="4">
        <f>(Table2[[#This Row],[TOTAL SALE]]/Table2[[#This Row],[TARGET]])</f>
        <v>0.48377764000826617</v>
      </c>
      <c r="L11" s="10">
        <f>100%-Table2[[#This Row],[HIT TARGET]]</f>
        <v>0.51622235999173383</v>
      </c>
      <c r="M11" s="5">
        <f>Table2[[#This Row],[TARGET]]-Table2[[#This Row],[TOTAL SALE]]</f>
        <v>2498</v>
      </c>
    </row>
    <row r="12" spans="1:13" x14ac:dyDescent="0.3">
      <c r="A12" s="2" t="s">
        <v>35</v>
      </c>
      <c r="B12" s="3" t="s">
        <v>36</v>
      </c>
      <c r="C12" s="3" t="s">
        <v>48</v>
      </c>
      <c r="D12" s="3" t="s">
        <v>34</v>
      </c>
      <c r="E12" s="3">
        <v>411</v>
      </c>
      <c r="F12" s="3">
        <v>394</v>
      </c>
      <c r="G12" s="3">
        <v>877</v>
      </c>
      <c r="H12" s="3">
        <v>792</v>
      </c>
      <c r="I12" s="3">
        <f>SUM(Table2[[#This Row],[WEEK 1 SALE]:[WEEK 4 SALE]])</f>
        <v>2474</v>
      </c>
      <c r="J12" s="3">
        <v>4594</v>
      </c>
      <c r="K12" s="4">
        <f>(Table2[[#This Row],[TOTAL SALE]]/Table2[[#This Row],[TARGET]])</f>
        <v>0.53852851545494118</v>
      </c>
      <c r="L12" s="10">
        <f>100%-Table2[[#This Row],[HIT TARGET]]</f>
        <v>0.46147148454505882</v>
      </c>
      <c r="M12" s="5">
        <f>Table2[[#This Row],[TARGET]]-Table2[[#This Row],[TOTAL SALE]]</f>
        <v>2120</v>
      </c>
    </row>
    <row r="13" spans="1:13" x14ac:dyDescent="0.3">
      <c r="A13" s="2" t="s">
        <v>49</v>
      </c>
      <c r="B13" s="3" t="s">
        <v>40</v>
      </c>
      <c r="C13" s="3" t="s">
        <v>50</v>
      </c>
      <c r="D13" s="3" t="s">
        <v>41</v>
      </c>
      <c r="E13" s="3">
        <v>414</v>
      </c>
      <c r="F13" s="3">
        <v>3289</v>
      </c>
      <c r="G13" s="3">
        <v>949</v>
      </c>
      <c r="H13" s="3">
        <v>848</v>
      </c>
      <c r="I13" s="3">
        <f>SUM(Table2[[#This Row],[WEEK 1 SALE]:[WEEK 4 SALE]])</f>
        <v>5500</v>
      </c>
      <c r="J13" s="3">
        <v>3269</v>
      </c>
      <c r="K13" s="4">
        <f>(Table2[[#This Row],[TOTAL SALE]]/Table2[[#This Row],[TARGET]])</f>
        <v>1.6824717038849801</v>
      </c>
      <c r="L13" s="10">
        <f>100%-Table2[[#This Row],[HIT TARGET]]</f>
        <v>-0.68247170388498013</v>
      </c>
      <c r="M13" s="5">
        <f>Table2[[#This Row],[TARGET]]-Table2[[#This Row],[TOTAL SALE]]</f>
        <v>-2231</v>
      </c>
    </row>
    <row r="14" spans="1:13" x14ac:dyDescent="0.3">
      <c r="A14" s="2" t="s">
        <v>31</v>
      </c>
      <c r="B14" s="3" t="s">
        <v>32</v>
      </c>
      <c r="C14" s="3" t="s">
        <v>39</v>
      </c>
      <c r="D14" s="3" t="s">
        <v>46</v>
      </c>
      <c r="E14" s="3">
        <v>720</v>
      </c>
      <c r="F14" s="3">
        <v>830</v>
      </c>
      <c r="G14" s="3">
        <v>754</v>
      </c>
      <c r="H14" s="3">
        <v>284</v>
      </c>
      <c r="I14" s="3">
        <f>SUM(Table2[[#This Row],[WEEK 1 SALE]:[WEEK 4 SALE]])</f>
        <v>2588</v>
      </c>
      <c r="J14" s="3">
        <v>4888</v>
      </c>
      <c r="K14" s="4">
        <f>(Table2[[#This Row],[TOTAL SALE]]/Table2[[#This Row],[TARGET]])</f>
        <v>0.52945990180032731</v>
      </c>
      <c r="L14" s="10">
        <f>100%-Table2[[#This Row],[HIT TARGET]]</f>
        <v>0.47054009819967269</v>
      </c>
      <c r="M14" s="5">
        <f>Table2[[#This Row],[TARGET]]-Table2[[#This Row],[TOTAL SALE]]</f>
        <v>2300</v>
      </c>
    </row>
    <row r="15" spans="1:13" x14ac:dyDescent="0.3">
      <c r="A15" s="2" t="s">
        <v>31</v>
      </c>
      <c r="B15" s="3" t="s">
        <v>32</v>
      </c>
      <c r="C15" s="3" t="s">
        <v>42</v>
      </c>
      <c r="D15" s="3" t="s">
        <v>34</v>
      </c>
      <c r="E15" s="3">
        <v>977</v>
      </c>
      <c r="F15" s="3">
        <v>465</v>
      </c>
      <c r="G15" s="3">
        <v>400</v>
      </c>
      <c r="H15" s="3">
        <v>242</v>
      </c>
      <c r="I15" s="3">
        <f>SUM(Table2[[#This Row],[WEEK 1 SALE]:[WEEK 4 SALE]])</f>
        <v>2084</v>
      </c>
      <c r="J15" s="3">
        <v>3614</v>
      </c>
      <c r="K15" s="4">
        <f>(Table2[[#This Row],[TOTAL SALE]]/Table2[[#This Row],[TARGET]])</f>
        <v>0.57664637520752626</v>
      </c>
      <c r="L15" s="10">
        <f>100%-Table2[[#This Row],[HIT TARGET]]</f>
        <v>0.42335362479247374</v>
      </c>
      <c r="M15" s="5">
        <f>Table2[[#This Row],[TARGET]]-Table2[[#This Row],[TOTAL SALE]]</f>
        <v>1530</v>
      </c>
    </row>
    <row r="16" spans="1:13" x14ac:dyDescent="0.3">
      <c r="A16" s="2" t="s">
        <v>45</v>
      </c>
      <c r="B16" s="3" t="s">
        <v>38</v>
      </c>
      <c r="C16" s="3" t="s">
        <v>33</v>
      </c>
      <c r="D16" s="3" t="s">
        <v>41</v>
      </c>
      <c r="E16" s="3">
        <v>345</v>
      </c>
      <c r="F16" s="3">
        <v>1498</v>
      </c>
      <c r="G16" s="3">
        <v>926</v>
      </c>
      <c r="H16" s="3">
        <v>847</v>
      </c>
      <c r="I16" s="3">
        <f>SUM(Table2[[#This Row],[WEEK 1 SALE]:[WEEK 4 SALE]])</f>
        <v>3616</v>
      </c>
      <c r="J16" s="3">
        <v>3572</v>
      </c>
      <c r="K16" s="4">
        <f>(Table2[[#This Row],[TOTAL SALE]]/Table2[[#This Row],[TARGET]])</f>
        <v>1.0123180291153415</v>
      </c>
      <c r="L16" s="10">
        <f>100%-Table2[[#This Row],[HIT TARGET]]</f>
        <v>-1.2318029115341522E-2</v>
      </c>
      <c r="M16" s="5">
        <f>Table2[[#This Row],[TARGET]]-Table2[[#This Row],[TOTAL SALE]]</f>
        <v>-44</v>
      </c>
    </row>
    <row r="17" spans="1:13" x14ac:dyDescent="0.3">
      <c r="A17" s="2" t="s">
        <v>35</v>
      </c>
      <c r="B17" s="3" t="s">
        <v>36</v>
      </c>
      <c r="C17" s="3" t="s">
        <v>42</v>
      </c>
      <c r="D17" s="3" t="s">
        <v>34</v>
      </c>
      <c r="E17" s="3">
        <v>317</v>
      </c>
      <c r="F17" s="3">
        <v>758</v>
      </c>
      <c r="G17" s="3">
        <v>914</v>
      </c>
      <c r="H17" s="3">
        <v>486</v>
      </c>
      <c r="I17" s="3">
        <f>SUM(Table2[[#This Row],[WEEK 1 SALE]:[WEEK 4 SALE]])</f>
        <v>2475</v>
      </c>
      <c r="J17" s="3">
        <v>4514</v>
      </c>
      <c r="K17" s="4">
        <f>(Table2[[#This Row],[TOTAL SALE]]/Table2[[#This Row],[TARGET]])</f>
        <v>0.54829419583517947</v>
      </c>
      <c r="L17" s="10">
        <f>100%-Table2[[#This Row],[HIT TARGET]]</f>
        <v>0.45170580416482053</v>
      </c>
      <c r="M17" s="5">
        <f>Table2[[#This Row],[TARGET]]-Table2[[#This Row],[TOTAL SALE]]</f>
        <v>2039</v>
      </c>
    </row>
    <row r="18" spans="1:13" x14ac:dyDescent="0.3">
      <c r="A18" s="2" t="s">
        <v>49</v>
      </c>
      <c r="B18" s="3" t="s">
        <v>40</v>
      </c>
      <c r="C18" s="3" t="s">
        <v>39</v>
      </c>
      <c r="D18" s="3" t="s">
        <v>44</v>
      </c>
      <c r="E18" s="3">
        <v>818</v>
      </c>
      <c r="F18" s="3">
        <v>201</v>
      </c>
      <c r="G18" s="3">
        <v>532</v>
      </c>
      <c r="H18" s="3">
        <v>1349</v>
      </c>
      <c r="I18" s="3">
        <f>SUM(Table2[[#This Row],[WEEK 1 SALE]:[WEEK 4 SALE]])</f>
        <v>2900</v>
      </c>
      <c r="J18" s="3">
        <v>4812</v>
      </c>
      <c r="K18" s="4">
        <f>(Table2[[#This Row],[TOTAL SALE]]/Table2[[#This Row],[TARGET]])</f>
        <v>0.60266001662510393</v>
      </c>
      <c r="L18" s="10">
        <f>100%-Table2[[#This Row],[HIT TARGET]]</f>
        <v>0.39733998337489607</v>
      </c>
      <c r="M18" s="5">
        <f>Table2[[#This Row],[TARGET]]-Table2[[#This Row],[TOTAL SALE]]</f>
        <v>1912</v>
      </c>
    </row>
    <row r="19" spans="1:13" x14ac:dyDescent="0.3">
      <c r="A19" s="2" t="s">
        <v>35</v>
      </c>
      <c r="B19" s="3" t="s">
        <v>36</v>
      </c>
      <c r="C19" s="3" t="s">
        <v>50</v>
      </c>
      <c r="D19" s="3" t="s">
        <v>37</v>
      </c>
      <c r="E19" s="3">
        <v>283</v>
      </c>
      <c r="F19" s="3">
        <v>379</v>
      </c>
      <c r="G19" s="3">
        <v>853</v>
      </c>
      <c r="H19" s="3">
        <v>467</v>
      </c>
      <c r="I19" s="3">
        <f>SUM(Table2[[#This Row],[WEEK 1 SALE]:[WEEK 4 SALE]])</f>
        <v>1982</v>
      </c>
      <c r="J19" s="3">
        <v>4234</v>
      </c>
      <c r="K19" s="4">
        <f>(Table2[[#This Row],[TOTAL SALE]]/Table2[[#This Row],[TARGET]])</f>
        <v>0.46811525743977328</v>
      </c>
      <c r="L19" s="10">
        <f>100%-Table2[[#This Row],[HIT TARGET]]</f>
        <v>0.53188474256022666</v>
      </c>
      <c r="M19" s="5">
        <f>Table2[[#This Row],[TARGET]]-Table2[[#This Row],[TOTAL SALE]]</f>
        <v>2252</v>
      </c>
    </row>
    <row r="20" spans="1:13" x14ac:dyDescent="0.3">
      <c r="A20" s="2" t="s">
        <v>45</v>
      </c>
      <c r="B20" s="3" t="s">
        <v>38</v>
      </c>
      <c r="C20" s="3" t="s">
        <v>50</v>
      </c>
      <c r="D20" s="3" t="s">
        <v>34</v>
      </c>
      <c r="E20" s="3">
        <v>596</v>
      </c>
      <c r="F20" s="3">
        <v>492</v>
      </c>
      <c r="G20" s="3">
        <v>865</v>
      </c>
      <c r="H20" s="3">
        <v>816</v>
      </c>
      <c r="I20" s="3">
        <f>SUM(Table2[[#This Row],[WEEK 1 SALE]:[WEEK 4 SALE]])</f>
        <v>2769</v>
      </c>
      <c r="J20" s="3">
        <v>4458</v>
      </c>
      <c r="K20" s="4">
        <f>(Table2[[#This Row],[TOTAL SALE]]/Table2[[#This Row],[TARGET]])</f>
        <v>0.62113055181695831</v>
      </c>
      <c r="L20" s="10">
        <f>100%-Table2[[#This Row],[HIT TARGET]]</f>
        <v>0.37886944818304169</v>
      </c>
      <c r="M20" s="5">
        <f>Table2[[#This Row],[TARGET]]-Table2[[#This Row],[TOTAL SALE]]</f>
        <v>1689</v>
      </c>
    </row>
    <row r="21" spans="1:13" x14ac:dyDescent="0.3">
      <c r="A21" s="2" t="s">
        <v>45</v>
      </c>
      <c r="B21" s="3" t="s">
        <v>38</v>
      </c>
      <c r="C21" s="3" t="s">
        <v>42</v>
      </c>
      <c r="D21" s="3" t="s">
        <v>46</v>
      </c>
      <c r="E21" s="3">
        <v>519</v>
      </c>
      <c r="F21" s="3">
        <v>450</v>
      </c>
      <c r="G21" s="3">
        <v>653</v>
      </c>
      <c r="H21" s="3">
        <v>567</v>
      </c>
      <c r="I21" s="3">
        <f>SUM(Table2[[#This Row],[WEEK 1 SALE]:[WEEK 4 SALE]])</f>
        <v>2189</v>
      </c>
      <c r="J21" s="3">
        <v>3681</v>
      </c>
      <c r="K21" s="4">
        <f>(Table2[[#This Row],[TOTAL SALE]]/Table2[[#This Row],[TARGET]])</f>
        <v>0.59467535995653353</v>
      </c>
      <c r="L21" s="10">
        <f>100%-Table2[[#This Row],[HIT TARGET]]</f>
        <v>0.40532464004346647</v>
      </c>
      <c r="M21" s="5">
        <f>Table2[[#This Row],[TARGET]]-Table2[[#This Row],[TOTAL SALE]]</f>
        <v>1492</v>
      </c>
    </row>
    <row r="22" spans="1:13" x14ac:dyDescent="0.3">
      <c r="A22" s="2" t="s">
        <v>47</v>
      </c>
      <c r="B22" s="3" t="s">
        <v>43</v>
      </c>
      <c r="C22" s="3" t="s">
        <v>39</v>
      </c>
      <c r="D22" s="3" t="s">
        <v>37</v>
      </c>
      <c r="E22" s="3">
        <v>766</v>
      </c>
      <c r="F22" s="3">
        <v>676</v>
      </c>
      <c r="G22" s="3">
        <v>944</v>
      </c>
      <c r="H22" s="3">
        <v>737</v>
      </c>
      <c r="I22" s="3">
        <f>SUM(Table2[[#This Row],[WEEK 1 SALE]:[WEEK 4 SALE]])</f>
        <v>3123</v>
      </c>
      <c r="J22" s="3">
        <v>4574</v>
      </c>
      <c r="K22" s="4">
        <f>(Table2[[#This Row],[TOTAL SALE]]/Table2[[#This Row],[TARGET]])</f>
        <v>0.6827721906427634</v>
      </c>
      <c r="L22" s="10">
        <f>100%-Table2[[#This Row],[HIT TARGET]]</f>
        <v>0.3172278093572366</v>
      </c>
      <c r="M22" s="5">
        <f>Table2[[#This Row],[TARGET]]-Table2[[#This Row],[TOTAL SALE]]</f>
        <v>1451</v>
      </c>
    </row>
    <row r="23" spans="1:13" x14ac:dyDescent="0.3">
      <c r="A23" s="2" t="s">
        <v>31</v>
      </c>
      <c r="B23" s="3" t="s">
        <v>32</v>
      </c>
      <c r="C23" s="3" t="s">
        <v>50</v>
      </c>
      <c r="D23" s="3" t="s">
        <v>41</v>
      </c>
      <c r="E23" s="3">
        <v>896</v>
      </c>
      <c r="F23" s="3">
        <v>751</v>
      </c>
      <c r="G23" s="3">
        <v>440</v>
      </c>
      <c r="H23" s="3">
        <v>655</v>
      </c>
      <c r="I23" s="3">
        <f>SUM(Table2[[#This Row],[WEEK 1 SALE]:[WEEK 4 SALE]])</f>
        <v>2742</v>
      </c>
      <c r="J23" s="3">
        <v>3611</v>
      </c>
      <c r="K23" s="4">
        <f>(Table2[[#This Row],[TOTAL SALE]]/Table2[[#This Row],[TARGET]])</f>
        <v>0.75934644142896701</v>
      </c>
      <c r="L23" s="10">
        <f>100%-Table2[[#This Row],[HIT TARGET]]</f>
        <v>0.24065355857103299</v>
      </c>
      <c r="M23" s="5">
        <f>Table2[[#This Row],[TARGET]]-Table2[[#This Row],[TOTAL SALE]]</f>
        <v>869</v>
      </c>
    </row>
    <row r="24" spans="1:13" x14ac:dyDescent="0.3">
      <c r="A24" s="2" t="s">
        <v>45</v>
      </c>
      <c r="B24" s="3" t="s">
        <v>38</v>
      </c>
      <c r="C24" s="3" t="s">
        <v>48</v>
      </c>
      <c r="D24" s="3" t="s">
        <v>37</v>
      </c>
      <c r="E24" s="3">
        <v>682</v>
      </c>
      <c r="F24" s="3">
        <v>247</v>
      </c>
      <c r="G24" s="3">
        <v>392</v>
      </c>
      <c r="H24" s="3">
        <v>560</v>
      </c>
      <c r="I24" s="3">
        <f>SUM(Table2[[#This Row],[WEEK 1 SALE]:[WEEK 4 SALE]])</f>
        <v>1881</v>
      </c>
      <c r="J24" s="3">
        <v>3547</v>
      </c>
      <c r="K24" s="4">
        <f>(Table2[[#This Row],[TOTAL SALE]]/Table2[[#This Row],[TARGET]])</f>
        <v>0.53030730194530584</v>
      </c>
      <c r="L24" s="10">
        <f>100%-Table2[[#This Row],[HIT TARGET]]</f>
        <v>0.46969269805469416</v>
      </c>
      <c r="M24" s="5">
        <f>Table2[[#This Row],[TARGET]]-Table2[[#This Row],[TOTAL SALE]]</f>
        <v>1666</v>
      </c>
    </row>
    <row r="25" spans="1:13" x14ac:dyDescent="0.3">
      <c r="A25" s="2" t="s">
        <v>49</v>
      </c>
      <c r="B25" s="3" t="s">
        <v>40</v>
      </c>
      <c r="C25" s="3" t="s">
        <v>50</v>
      </c>
      <c r="D25" s="3" t="s">
        <v>44</v>
      </c>
      <c r="E25" s="3">
        <v>514</v>
      </c>
      <c r="F25" s="3">
        <v>348</v>
      </c>
      <c r="G25" s="3">
        <v>337</v>
      </c>
      <c r="H25" s="3">
        <v>491</v>
      </c>
      <c r="I25" s="3">
        <f>SUM(Table2[[#This Row],[WEEK 1 SALE]:[WEEK 4 SALE]])</f>
        <v>1690</v>
      </c>
      <c r="J25" s="3">
        <v>3147</v>
      </c>
      <c r="K25" s="4">
        <f>(Table2[[#This Row],[TOTAL SALE]]/Table2[[#This Row],[TARGET]])</f>
        <v>0.53701938353987921</v>
      </c>
      <c r="L25" s="10">
        <f>100%-Table2[[#This Row],[HIT TARGET]]</f>
        <v>0.46298061646012079</v>
      </c>
      <c r="M25" s="5">
        <f>Table2[[#This Row],[TARGET]]-Table2[[#This Row],[TOTAL SALE]]</f>
        <v>1457</v>
      </c>
    </row>
    <row r="26" spans="1:13" x14ac:dyDescent="0.3">
      <c r="A26" s="2" t="s">
        <v>45</v>
      </c>
      <c r="B26" s="3" t="s">
        <v>38</v>
      </c>
      <c r="C26" s="3" t="s">
        <v>48</v>
      </c>
      <c r="D26" s="3" t="s">
        <v>41</v>
      </c>
      <c r="E26" s="3">
        <v>2000</v>
      </c>
      <c r="F26" s="3">
        <v>773</v>
      </c>
      <c r="G26" s="3">
        <v>963</v>
      </c>
      <c r="H26" s="3">
        <v>818</v>
      </c>
      <c r="I26" s="3">
        <f>SUM(Table2[[#This Row],[WEEK 1 SALE]:[WEEK 4 SALE]])</f>
        <v>4554</v>
      </c>
      <c r="J26" s="3">
        <v>3358</v>
      </c>
      <c r="K26" s="4">
        <f>(Table2[[#This Row],[TOTAL SALE]]/Table2[[#This Row],[TARGET]])</f>
        <v>1.3561643835616439</v>
      </c>
      <c r="L26" s="10">
        <f>100%-Table2[[#This Row],[HIT TARGET]]</f>
        <v>-0.35616438356164393</v>
      </c>
      <c r="M26" s="5">
        <f>Table2[[#This Row],[TARGET]]-Table2[[#This Row],[TOTAL SALE]]</f>
        <v>-1196</v>
      </c>
    </row>
    <row r="27" spans="1:13" x14ac:dyDescent="0.3">
      <c r="A27" s="2" t="s">
        <v>35</v>
      </c>
      <c r="B27" s="3" t="s">
        <v>36</v>
      </c>
      <c r="C27" s="3" t="s">
        <v>33</v>
      </c>
      <c r="D27" s="3" t="s">
        <v>44</v>
      </c>
      <c r="E27" s="3">
        <v>378</v>
      </c>
      <c r="F27" s="3">
        <v>580</v>
      </c>
      <c r="G27" s="3">
        <v>648</v>
      </c>
      <c r="H27" s="3">
        <v>414</v>
      </c>
      <c r="I27" s="3">
        <f>SUM(Table2[[#This Row],[WEEK 1 SALE]:[WEEK 4 SALE]])</f>
        <v>2020</v>
      </c>
      <c r="J27" s="3">
        <v>4045</v>
      </c>
      <c r="K27" s="4">
        <f>(Table2[[#This Row],[TOTAL SALE]]/Table2[[#This Row],[TARGET]])</f>
        <v>0.49938195302843014</v>
      </c>
      <c r="L27" s="10">
        <f>100%-Table2[[#This Row],[HIT TARGET]]</f>
        <v>0.50061804697156986</v>
      </c>
      <c r="M27" s="5">
        <f>Table2[[#This Row],[TARGET]]-Table2[[#This Row],[TOTAL SALE]]</f>
        <v>2025</v>
      </c>
    </row>
    <row r="28" spans="1:13" x14ac:dyDescent="0.3">
      <c r="A28" s="2" t="s">
        <v>35</v>
      </c>
      <c r="B28" s="3" t="s">
        <v>36</v>
      </c>
      <c r="C28" s="3" t="s">
        <v>48</v>
      </c>
      <c r="D28" s="3" t="s">
        <v>44</v>
      </c>
      <c r="E28" s="3">
        <v>318</v>
      </c>
      <c r="F28" s="3">
        <v>954</v>
      </c>
      <c r="G28" s="3">
        <v>720</v>
      </c>
      <c r="H28" s="3">
        <v>229</v>
      </c>
      <c r="I28" s="3">
        <f>SUM(Table2[[#This Row],[WEEK 1 SALE]:[WEEK 4 SALE]])</f>
        <v>2221</v>
      </c>
      <c r="J28" s="3">
        <v>4992</v>
      </c>
      <c r="K28" s="4">
        <f>(Table2[[#This Row],[TOTAL SALE]]/Table2[[#This Row],[TARGET]])</f>
        <v>0.44491185897435898</v>
      </c>
      <c r="L28" s="10">
        <f>100%-Table2[[#This Row],[HIT TARGET]]</f>
        <v>0.55508814102564097</v>
      </c>
      <c r="M28" s="5">
        <f>Table2[[#This Row],[TARGET]]-Table2[[#This Row],[TOTAL SALE]]</f>
        <v>2771</v>
      </c>
    </row>
    <row r="29" spans="1:13" x14ac:dyDescent="0.3">
      <c r="A29" s="2" t="s">
        <v>31</v>
      </c>
      <c r="B29" s="3" t="s">
        <v>32</v>
      </c>
      <c r="C29" s="3" t="s">
        <v>50</v>
      </c>
      <c r="D29" s="3" t="s">
        <v>46</v>
      </c>
      <c r="E29" s="3">
        <v>267</v>
      </c>
      <c r="F29" s="3">
        <v>913</v>
      </c>
      <c r="G29" s="3">
        <v>307</v>
      </c>
      <c r="H29" s="3">
        <v>505</v>
      </c>
      <c r="I29" s="3">
        <f>SUM(Table2[[#This Row],[WEEK 1 SALE]:[WEEK 4 SALE]])</f>
        <v>1992</v>
      </c>
      <c r="J29" s="3">
        <v>4594</v>
      </c>
      <c r="K29" s="4">
        <f>(Table2[[#This Row],[TOTAL SALE]]/Table2[[#This Row],[TARGET]])</f>
        <v>0.43360905528950805</v>
      </c>
      <c r="L29" s="10">
        <f>100%-Table2[[#This Row],[HIT TARGET]]</f>
        <v>0.56639094471049201</v>
      </c>
      <c r="M29" s="5">
        <f>Table2[[#This Row],[TARGET]]-Table2[[#This Row],[TOTAL SALE]]</f>
        <v>2602</v>
      </c>
    </row>
    <row r="30" spans="1:13" x14ac:dyDescent="0.3">
      <c r="A30" s="2" t="s">
        <v>47</v>
      </c>
      <c r="B30" s="3" t="s">
        <v>43</v>
      </c>
      <c r="C30" s="3" t="s">
        <v>48</v>
      </c>
      <c r="D30" s="3" t="s">
        <v>46</v>
      </c>
      <c r="E30" s="3">
        <v>558</v>
      </c>
      <c r="F30" s="3">
        <v>426</v>
      </c>
      <c r="G30" s="3">
        <v>659</v>
      </c>
      <c r="H30" s="3">
        <v>333</v>
      </c>
      <c r="I30" s="3">
        <f>SUM(Table2[[#This Row],[WEEK 1 SALE]:[WEEK 4 SALE]])</f>
        <v>1976</v>
      </c>
      <c r="J30" s="3">
        <v>4931</v>
      </c>
      <c r="K30" s="4">
        <f>(Table2[[#This Row],[TOTAL SALE]]/Table2[[#This Row],[TARGET]])</f>
        <v>0.40073007503548974</v>
      </c>
      <c r="L30" s="10">
        <f>100%-Table2[[#This Row],[HIT TARGET]]</f>
        <v>0.59926992496451026</v>
      </c>
      <c r="M30" s="5">
        <f>Table2[[#This Row],[TARGET]]-Table2[[#This Row],[TOTAL SALE]]</f>
        <v>2955</v>
      </c>
    </row>
    <row r="31" spans="1:13" x14ac:dyDescent="0.3">
      <c r="A31" s="2" t="s">
        <v>45</v>
      </c>
      <c r="B31" s="3" t="s">
        <v>38</v>
      </c>
      <c r="C31" s="3" t="s">
        <v>39</v>
      </c>
      <c r="D31" s="3" t="s">
        <v>34</v>
      </c>
      <c r="E31" s="3">
        <v>833</v>
      </c>
      <c r="F31" s="3">
        <v>377</v>
      </c>
      <c r="G31" s="3">
        <v>344</v>
      </c>
      <c r="H31" s="3">
        <v>340</v>
      </c>
      <c r="I31" s="3">
        <f>SUM(Table2[[#This Row],[WEEK 1 SALE]:[WEEK 4 SALE]])</f>
        <v>1894</v>
      </c>
      <c r="J31" s="3">
        <v>3426</v>
      </c>
      <c r="K31" s="4">
        <f>(Table2[[#This Row],[TOTAL SALE]]/Table2[[#This Row],[TARGET]])</f>
        <v>0.55283129013426735</v>
      </c>
      <c r="L31" s="10">
        <f>100%-Table2[[#This Row],[HIT TARGET]]</f>
        <v>0.44716870986573265</v>
      </c>
      <c r="M31" s="5">
        <f>Table2[[#This Row],[TARGET]]-Table2[[#This Row],[TOTAL SALE]]</f>
        <v>1532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0ADA4-3604-498A-B38C-F8E4D3F989AD}">
  <sheetPr codeName="Sheet4"/>
  <dimension ref="A1:P30"/>
  <sheetViews>
    <sheetView tabSelected="1" zoomScale="98" zoomScaleNormal="98" workbookViewId="0">
      <selection activeCell="N2" sqref="N2"/>
    </sheetView>
  </sheetViews>
  <sheetFormatPr defaultRowHeight="14.4" x14ac:dyDescent="0.3"/>
  <cols>
    <col min="1" max="1" width="20" bestFit="1" customWidth="1"/>
    <col min="2" max="5" width="13.88671875" bestFit="1" customWidth="1"/>
    <col min="6" max="6" width="4.5546875" customWidth="1"/>
    <col min="7" max="7" width="21.88671875" customWidth="1"/>
    <col min="8" max="8" width="22.6640625" customWidth="1"/>
    <col min="9" max="9" width="4.5546875" customWidth="1"/>
    <col min="10" max="10" width="18.21875" bestFit="1" customWidth="1"/>
    <col min="11" max="11" width="18.21875" customWidth="1"/>
    <col min="12" max="12" width="3.5546875" customWidth="1"/>
    <col min="13" max="13" width="18.21875" bestFit="1" customWidth="1"/>
    <col min="14" max="14" width="18.88671875" customWidth="1"/>
  </cols>
  <sheetData>
    <row r="1" spans="1:16" x14ac:dyDescent="0.3">
      <c r="A1" s="13" t="b">
        <v>0</v>
      </c>
      <c r="B1" s="13"/>
      <c r="C1" s="13"/>
      <c r="D1" s="13"/>
      <c r="E1" s="13"/>
      <c r="F1" s="13"/>
      <c r="G1" s="13" t="b">
        <v>0</v>
      </c>
      <c r="H1" s="13"/>
      <c r="I1" s="13"/>
      <c r="J1" s="13" t="b">
        <v>0</v>
      </c>
      <c r="K1" s="13"/>
      <c r="L1" s="13"/>
      <c r="M1" s="13" t="b">
        <v>0</v>
      </c>
      <c r="N1" s="13"/>
      <c r="O1" s="13"/>
      <c r="P1" s="13"/>
    </row>
    <row r="2" spans="1:16" ht="42.6" customHeight="1" x14ac:dyDescent="0.3">
      <c r="A2" s="13"/>
      <c r="B2" s="13"/>
      <c r="C2" s="13"/>
      <c r="D2" s="13"/>
      <c r="E2" s="13"/>
      <c r="F2" s="13"/>
      <c r="G2" s="13"/>
      <c r="H2" s="13"/>
      <c r="I2" s="13"/>
      <c r="J2" s="13"/>
      <c r="K2" s="13"/>
      <c r="L2" s="13"/>
      <c r="M2" s="13"/>
      <c r="N2" s="13"/>
      <c r="O2" s="13"/>
      <c r="P2" s="13"/>
    </row>
    <row r="3" spans="1:16" ht="15.6" x14ac:dyDescent="0.3">
      <c r="A3" s="14" t="s">
        <v>65</v>
      </c>
      <c r="B3" s="15" t="s">
        <v>66</v>
      </c>
      <c r="C3" s="15" t="s">
        <v>67</v>
      </c>
      <c r="D3" s="15" t="s">
        <v>68</v>
      </c>
      <c r="E3" s="15" t="s">
        <v>69</v>
      </c>
      <c r="F3" s="13"/>
      <c r="G3" s="14" t="s">
        <v>65</v>
      </c>
      <c r="H3" s="15" t="s">
        <v>72</v>
      </c>
      <c r="J3" s="11" t="s">
        <v>65</v>
      </c>
      <c r="K3" t="s">
        <v>70</v>
      </c>
      <c r="L3" s="13"/>
      <c r="M3" s="11" t="s">
        <v>65</v>
      </c>
      <c r="N3" t="s">
        <v>71</v>
      </c>
      <c r="O3" s="13"/>
      <c r="P3" s="13"/>
    </row>
    <row r="4" spans="1:16" ht="15.6" x14ac:dyDescent="0.3">
      <c r="A4" s="16" t="s">
        <v>45</v>
      </c>
      <c r="B4" s="15">
        <v>4444</v>
      </c>
      <c r="C4" s="15">
        <v>2982</v>
      </c>
      <c r="D4" s="15">
        <v>4794</v>
      </c>
      <c r="E4" s="15">
        <v>4248</v>
      </c>
      <c r="F4" s="13"/>
      <c r="G4" s="16" t="s">
        <v>45</v>
      </c>
      <c r="H4" s="17">
        <v>25603</v>
      </c>
      <c r="J4" s="12" t="s">
        <v>45</v>
      </c>
      <c r="K4">
        <v>16468</v>
      </c>
      <c r="L4" s="13"/>
      <c r="M4" s="12" t="s">
        <v>45</v>
      </c>
      <c r="N4">
        <v>9135</v>
      </c>
      <c r="O4" s="13"/>
      <c r="P4" s="13"/>
    </row>
    <row r="5" spans="1:16" ht="15.6" x14ac:dyDescent="0.3">
      <c r="A5" s="16" t="s">
        <v>35</v>
      </c>
      <c r="B5" s="15">
        <v>4409</v>
      </c>
      <c r="C5" s="15">
        <v>6638</v>
      </c>
      <c r="D5" s="15">
        <v>7024</v>
      </c>
      <c r="E5" s="15">
        <v>5233</v>
      </c>
      <c r="F5" s="13"/>
      <c r="G5" s="16" t="s">
        <v>35</v>
      </c>
      <c r="H5" s="17">
        <v>41982</v>
      </c>
      <c r="J5" s="12" t="s">
        <v>35</v>
      </c>
      <c r="K5">
        <v>23304</v>
      </c>
      <c r="L5" s="13"/>
      <c r="M5" s="12" t="s">
        <v>35</v>
      </c>
      <c r="N5">
        <v>18678</v>
      </c>
      <c r="O5" s="13"/>
      <c r="P5" s="13"/>
    </row>
    <row r="6" spans="1:16" ht="15.6" x14ac:dyDescent="0.3">
      <c r="A6" s="16" t="s">
        <v>49</v>
      </c>
      <c r="B6" s="15">
        <v>1746</v>
      </c>
      <c r="C6" s="15">
        <v>779</v>
      </c>
      <c r="D6" s="15">
        <v>1818</v>
      </c>
      <c r="E6" s="15">
        <v>1978</v>
      </c>
      <c r="F6" s="13"/>
      <c r="G6" s="16" t="s">
        <v>49</v>
      </c>
      <c r="H6" s="17">
        <v>11228</v>
      </c>
      <c r="J6" s="12" t="s">
        <v>49</v>
      </c>
      <c r="K6">
        <v>6321</v>
      </c>
      <c r="L6" s="13"/>
      <c r="M6" s="12" t="s">
        <v>49</v>
      </c>
      <c r="N6">
        <v>4907</v>
      </c>
      <c r="O6" s="13"/>
      <c r="P6" s="13"/>
    </row>
    <row r="7" spans="1:16" ht="15.6" x14ac:dyDescent="0.3">
      <c r="A7" s="16" t="s">
        <v>47</v>
      </c>
      <c r="B7" s="15">
        <v>2054</v>
      </c>
      <c r="C7" s="15">
        <v>1707</v>
      </c>
      <c r="D7" s="15">
        <v>2393</v>
      </c>
      <c r="E7" s="15">
        <v>1629</v>
      </c>
      <c r="F7" s="13"/>
      <c r="G7" s="16" t="s">
        <v>47</v>
      </c>
      <c r="H7" s="17">
        <v>14344</v>
      </c>
      <c r="J7" s="12" t="s">
        <v>47</v>
      </c>
      <c r="K7">
        <v>7783</v>
      </c>
      <c r="L7" s="13"/>
      <c r="M7" s="12" t="s">
        <v>47</v>
      </c>
      <c r="N7">
        <v>6561</v>
      </c>
      <c r="O7" s="13"/>
      <c r="P7" s="13"/>
    </row>
    <row r="8" spans="1:16" ht="15.6" x14ac:dyDescent="0.3">
      <c r="A8" s="16" t="s">
        <v>31</v>
      </c>
      <c r="B8" s="15">
        <v>4498</v>
      </c>
      <c r="C8" s="15">
        <v>4805</v>
      </c>
      <c r="D8" s="15">
        <v>4257</v>
      </c>
      <c r="E8" s="15">
        <v>3416</v>
      </c>
      <c r="F8" s="13"/>
      <c r="G8" s="16" t="s">
        <v>31</v>
      </c>
      <c r="H8" s="17">
        <v>29373</v>
      </c>
      <c r="J8" s="12" t="s">
        <v>31</v>
      </c>
      <c r="K8">
        <v>16976</v>
      </c>
      <c r="L8" s="13"/>
      <c r="M8" s="12" t="s">
        <v>31</v>
      </c>
      <c r="N8">
        <v>12397</v>
      </c>
      <c r="O8" s="13"/>
      <c r="P8" s="13"/>
    </row>
    <row r="9" spans="1:16" ht="15.6" x14ac:dyDescent="0.3">
      <c r="A9" s="16" t="s">
        <v>64</v>
      </c>
      <c r="B9" s="15">
        <v>17151</v>
      </c>
      <c r="C9" s="15">
        <v>16911</v>
      </c>
      <c r="D9" s="15">
        <v>20286</v>
      </c>
      <c r="E9" s="15">
        <v>16504</v>
      </c>
      <c r="F9" s="13"/>
      <c r="G9" s="16" t="s">
        <v>64</v>
      </c>
      <c r="H9" s="17">
        <v>122530</v>
      </c>
      <c r="J9" s="13"/>
      <c r="K9" s="13"/>
      <c r="L9" s="13"/>
      <c r="M9" s="13"/>
      <c r="N9" s="13"/>
      <c r="O9" s="13"/>
      <c r="P9" s="13"/>
    </row>
    <row r="10" spans="1:16" ht="16.8" customHeight="1" x14ac:dyDescent="0.3">
      <c r="A10" s="13"/>
      <c r="B10" s="13"/>
      <c r="C10" s="13"/>
      <c r="D10" s="13"/>
      <c r="E10" s="13"/>
      <c r="F10" s="13"/>
      <c r="G10" s="13"/>
      <c r="H10" s="13"/>
      <c r="I10" s="13"/>
      <c r="J10" s="13"/>
      <c r="K10" s="13"/>
      <c r="L10" s="13"/>
      <c r="M10" s="13"/>
      <c r="N10" s="13"/>
      <c r="O10" s="13"/>
      <c r="P10" s="13"/>
    </row>
    <row r="11" spans="1:16" x14ac:dyDescent="0.3">
      <c r="A11" s="13"/>
      <c r="B11" s="13"/>
      <c r="C11" s="13"/>
      <c r="D11" s="13"/>
      <c r="E11" s="13"/>
      <c r="F11" s="13"/>
      <c r="G11" s="13"/>
      <c r="H11" s="13"/>
      <c r="I11" s="13"/>
      <c r="J11" s="13"/>
      <c r="K11" s="13"/>
      <c r="L11" s="13"/>
      <c r="M11" s="13"/>
      <c r="N11" s="13"/>
      <c r="O11" s="13"/>
      <c r="P11" s="13"/>
    </row>
    <row r="12" spans="1:16" x14ac:dyDescent="0.3">
      <c r="A12" s="13"/>
      <c r="B12" s="13"/>
      <c r="C12" s="13"/>
      <c r="D12" s="13"/>
      <c r="E12" s="13"/>
      <c r="F12" s="13"/>
      <c r="G12" s="13"/>
      <c r="H12" s="13"/>
      <c r="I12" s="13"/>
      <c r="J12" s="13"/>
      <c r="K12" s="13"/>
      <c r="L12" s="13"/>
      <c r="M12" s="13"/>
      <c r="N12" s="13"/>
      <c r="O12" s="13"/>
      <c r="P12" s="13"/>
    </row>
    <row r="13" spans="1:16" x14ac:dyDescent="0.3">
      <c r="A13" s="13"/>
      <c r="B13" s="13"/>
      <c r="C13" s="13"/>
      <c r="D13" s="13"/>
      <c r="E13" s="13"/>
      <c r="F13" s="13"/>
      <c r="G13" s="13"/>
      <c r="H13" s="13"/>
      <c r="I13" s="13"/>
      <c r="J13" s="13"/>
      <c r="K13" s="13"/>
      <c r="L13" s="13"/>
      <c r="M13" s="13"/>
      <c r="N13" s="13"/>
      <c r="O13" s="13"/>
      <c r="P13" s="13"/>
    </row>
    <row r="14" spans="1:16" x14ac:dyDescent="0.3">
      <c r="A14" s="13"/>
      <c r="B14" s="13"/>
      <c r="C14" s="13"/>
      <c r="D14" s="13"/>
      <c r="E14" s="13"/>
      <c r="F14" s="13"/>
      <c r="G14" s="13"/>
      <c r="H14" s="13"/>
      <c r="I14" s="13"/>
      <c r="J14" s="13"/>
      <c r="K14" s="13"/>
      <c r="L14" s="13"/>
      <c r="M14" s="13"/>
      <c r="N14" s="13"/>
      <c r="O14" s="13"/>
      <c r="P14" s="13"/>
    </row>
    <row r="15" spans="1:16" x14ac:dyDescent="0.3">
      <c r="A15" s="13"/>
      <c r="B15" s="13"/>
      <c r="C15" s="13"/>
      <c r="D15" s="13"/>
      <c r="E15" s="13"/>
      <c r="F15" s="13"/>
      <c r="G15" s="13"/>
      <c r="H15" s="13"/>
      <c r="I15" s="13"/>
      <c r="J15" s="13"/>
      <c r="K15" s="13"/>
      <c r="L15" s="13"/>
      <c r="M15" s="13"/>
      <c r="N15" s="13"/>
      <c r="O15" s="13"/>
      <c r="P15" s="13"/>
    </row>
    <row r="16" spans="1:16" x14ac:dyDescent="0.3">
      <c r="B16" s="13"/>
      <c r="C16" s="13"/>
      <c r="D16" s="13"/>
      <c r="E16" s="13"/>
      <c r="F16" s="13"/>
      <c r="G16" s="13"/>
      <c r="H16" s="13"/>
      <c r="I16" s="13"/>
      <c r="J16" s="13"/>
      <c r="K16" s="13"/>
      <c r="L16" s="13"/>
      <c r="M16" s="13"/>
      <c r="N16" s="13"/>
      <c r="O16" s="13"/>
      <c r="P16" s="13"/>
    </row>
    <row r="17" spans="1:16" x14ac:dyDescent="0.3">
      <c r="B17" s="13"/>
      <c r="C17" s="13"/>
      <c r="D17" s="13"/>
      <c r="E17" s="13"/>
      <c r="F17" s="13"/>
      <c r="G17" s="13"/>
      <c r="H17" s="13"/>
      <c r="I17" s="13"/>
      <c r="J17" s="13"/>
      <c r="K17" s="13"/>
      <c r="L17" s="13"/>
      <c r="M17" s="13"/>
      <c r="N17" s="13"/>
      <c r="O17" s="13"/>
      <c r="P17" s="13"/>
    </row>
    <row r="18" spans="1:16" x14ac:dyDescent="0.3">
      <c r="B18" s="13"/>
      <c r="C18" s="13"/>
      <c r="D18" s="13"/>
      <c r="E18" s="13"/>
      <c r="F18" s="13"/>
      <c r="G18" s="13"/>
      <c r="H18" s="13"/>
      <c r="I18" s="13"/>
      <c r="J18" s="13"/>
      <c r="K18" s="13"/>
      <c r="L18" s="13"/>
      <c r="M18" s="13"/>
      <c r="N18" s="13"/>
      <c r="O18" s="13"/>
      <c r="P18" s="13"/>
    </row>
    <row r="19" spans="1:16" x14ac:dyDescent="0.3">
      <c r="B19" s="13"/>
      <c r="C19" s="13"/>
      <c r="D19" s="13"/>
      <c r="E19" s="13"/>
      <c r="F19" s="13"/>
      <c r="G19" s="13"/>
      <c r="H19" s="13"/>
      <c r="I19" s="13"/>
      <c r="J19" s="13"/>
      <c r="K19" s="13"/>
      <c r="L19" s="13"/>
      <c r="M19" s="13"/>
      <c r="N19" s="13"/>
      <c r="O19" s="13"/>
      <c r="P19" s="13"/>
    </row>
    <row r="20" spans="1:16" x14ac:dyDescent="0.3">
      <c r="B20" s="13"/>
      <c r="C20" s="13"/>
      <c r="D20" s="13"/>
      <c r="E20" s="13"/>
      <c r="F20" s="13"/>
      <c r="G20" s="13"/>
      <c r="H20" s="13"/>
      <c r="I20" s="13"/>
      <c r="J20" s="13"/>
      <c r="K20" s="13"/>
      <c r="L20" s="13"/>
      <c r="M20" s="13"/>
      <c r="N20" s="13"/>
      <c r="O20" s="13"/>
      <c r="P20" s="13"/>
    </row>
    <row r="21" spans="1:16" x14ac:dyDescent="0.3">
      <c r="B21" s="13"/>
      <c r="C21" s="13"/>
      <c r="D21" s="13"/>
      <c r="E21" s="13"/>
      <c r="F21" s="13"/>
      <c r="G21" s="13"/>
      <c r="H21" s="13"/>
      <c r="I21" s="13"/>
      <c r="J21" s="13"/>
      <c r="K21" s="13"/>
      <c r="L21" s="13"/>
      <c r="M21" s="13"/>
      <c r="N21" s="13"/>
      <c r="O21" s="13"/>
      <c r="P21" s="13"/>
    </row>
    <row r="22" spans="1:16" x14ac:dyDescent="0.3">
      <c r="B22" s="13"/>
      <c r="C22" s="13"/>
      <c r="D22" s="13"/>
      <c r="E22" s="13"/>
      <c r="F22" s="13"/>
      <c r="G22" s="13"/>
      <c r="H22" s="13"/>
      <c r="I22" s="13"/>
      <c r="J22" s="13"/>
      <c r="K22" s="13"/>
      <c r="L22" s="13"/>
      <c r="M22" s="13"/>
      <c r="N22" s="13"/>
      <c r="O22" s="13"/>
      <c r="P22" s="13"/>
    </row>
    <row r="23" spans="1:16" x14ac:dyDescent="0.3">
      <c r="B23" s="13"/>
      <c r="C23" s="13"/>
      <c r="D23" s="13"/>
      <c r="E23" s="13"/>
      <c r="F23" s="13"/>
      <c r="G23" s="13"/>
      <c r="H23" s="13"/>
      <c r="I23" s="13"/>
      <c r="J23" s="13"/>
      <c r="K23" s="13"/>
      <c r="L23" s="13"/>
      <c r="M23" s="13"/>
      <c r="N23" s="13"/>
      <c r="O23" s="13"/>
      <c r="P23" s="13"/>
    </row>
    <row r="24" spans="1:16" x14ac:dyDescent="0.3">
      <c r="B24" s="13"/>
      <c r="C24" s="13"/>
      <c r="D24" s="13"/>
      <c r="E24" s="13"/>
      <c r="F24" s="13"/>
      <c r="G24" s="13"/>
      <c r="H24" s="13"/>
      <c r="I24" s="13"/>
      <c r="J24" s="13"/>
      <c r="K24" s="13"/>
      <c r="L24" s="13"/>
      <c r="M24" s="13"/>
      <c r="N24" s="13"/>
      <c r="O24" s="13"/>
      <c r="P24" s="13"/>
    </row>
    <row r="25" spans="1:16" x14ac:dyDescent="0.3">
      <c r="B25" s="13"/>
      <c r="C25" s="13"/>
      <c r="D25" s="13"/>
      <c r="E25" s="13"/>
      <c r="F25" s="13"/>
      <c r="G25" s="13"/>
      <c r="H25" s="13"/>
      <c r="I25" s="13"/>
      <c r="J25" s="13"/>
      <c r="K25" s="13"/>
      <c r="L25" s="13"/>
      <c r="M25" s="13"/>
      <c r="N25" s="13"/>
      <c r="O25" s="13"/>
      <c r="P25" s="13"/>
    </row>
    <row r="26" spans="1:16" x14ac:dyDescent="0.3">
      <c r="B26" s="13"/>
      <c r="C26" s="13"/>
      <c r="D26" s="13"/>
      <c r="E26" s="13"/>
      <c r="F26" s="13"/>
      <c r="G26" s="13"/>
      <c r="H26" s="13"/>
      <c r="I26" s="13"/>
      <c r="J26" s="13"/>
      <c r="K26" s="13"/>
      <c r="L26" s="13"/>
      <c r="M26" s="13"/>
      <c r="N26" s="13"/>
      <c r="O26" s="13"/>
      <c r="P26" s="13"/>
    </row>
    <row r="27" spans="1:16" x14ac:dyDescent="0.3">
      <c r="A27" s="13"/>
      <c r="B27" s="13"/>
      <c r="C27" s="13"/>
      <c r="D27" s="13"/>
      <c r="E27" s="13"/>
      <c r="F27" s="13"/>
      <c r="G27" s="13"/>
      <c r="H27" s="13"/>
      <c r="I27" s="13"/>
      <c r="J27" s="13"/>
      <c r="K27" s="13"/>
      <c r="L27" s="13"/>
      <c r="M27" s="13"/>
      <c r="N27" s="13"/>
      <c r="O27" s="13"/>
      <c r="P27" s="13"/>
    </row>
    <row r="28" spans="1:16" x14ac:dyDescent="0.3">
      <c r="A28" s="13"/>
      <c r="B28" s="13"/>
      <c r="C28" s="13"/>
      <c r="D28" s="13"/>
      <c r="E28" s="13"/>
      <c r="F28" s="13"/>
      <c r="G28" s="13"/>
      <c r="H28" s="13"/>
      <c r="I28" s="13"/>
      <c r="J28" s="13"/>
      <c r="K28" s="13"/>
      <c r="L28" s="13"/>
      <c r="M28" s="13"/>
      <c r="N28" s="13"/>
      <c r="O28" s="13"/>
      <c r="P28" s="13"/>
    </row>
    <row r="29" spans="1:16" x14ac:dyDescent="0.3">
      <c r="A29" s="13"/>
      <c r="B29" s="13"/>
      <c r="C29" s="13"/>
      <c r="D29" s="13"/>
      <c r="E29" s="13"/>
      <c r="F29" s="13"/>
      <c r="G29" s="13"/>
      <c r="H29" s="13"/>
      <c r="I29" s="13"/>
      <c r="J29" s="13"/>
      <c r="K29" s="13"/>
      <c r="L29" s="13"/>
      <c r="M29" s="13"/>
      <c r="N29" s="13"/>
      <c r="O29" s="13"/>
      <c r="P29" s="13"/>
    </row>
    <row r="30" spans="1:16" x14ac:dyDescent="0.3">
      <c r="A30" s="13"/>
      <c r="B30" s="13"/>
      <c r="C30" s="13"/>
      <c r="D30" s="13"/>
      <c r="E30" s="13"/>
      <c r="F30" s="13"/>
      <c r="G30" s="13"/>
      <c r="H30" s="13"/>
      <c r="I30" s="13"/>
      <c r="J30" s="13"/>
      <c r="K30" s="13"/>
      <c r="L30" s="13"/>
      <c r="M30" s="13"/>
      <c r="N30" s="13"/>
      <c r="O30" s="13"/>
      <c r="P30"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9" r:id="rId7" name="Check Box 3">
              <controlPr defaultSize="0" autoFill="0" autoLine="0" autoPict="0" macro="[0]!SlicerConnection">
                <anchor moveWithCells="1">
                  <from>
                    <xdr:col>9</xdr:col>
                    <xdr:colOff>106680</xdr:colOff>
                    <xdr:row>1</xdr:row>
                    <xdr:rowOff>289560</xdr:rowOff>
                  </from>
                  <to>
                    <xdr:col>10</xdr:col>
                    <xdr:colOff>167640</xdr:colOff>
                    <xdr:row>1</xdr:row>
                    <xdr:rowOff>510540</xdr:rowOff>
                  </to>
                </anchor>
              </controlPr>
            </control>
          </mc:Choice>
        </mc:AlternateContent>
        <mc:AlternateContent xmlns:mc="http://schemas.openxmlformats.org/markup-compatibility/2006">
          <mc:Choice Requires="x14">
            <control shapeId="4100" r:id="rId8" name="Check Box 4">
              <controlPr defaultSize="0" autoFill="0" autoLine="0" autoPict="0" macro="[0]!SlicerConnection">
                <anchor moveWithCells="1">
                  <from>
                    <xdr:col>12</xdr:col>
                    <xdr:colOff>99060</xdr:colOff>
                    <xdr:row>1</xdr:row>
                    <xdr:rowOff>289560</xdr:rowOff>
                  </from>
                  <to>
                    <xdr:col>13</xdr:col>
                    <xdr:colOff>160020</xdr:colOff>
                    <xdr:row>1</xdr:row>
                    <xdr:rowOff>510540</xdr:rowOff>
                  </to>
                </anchor>
              </controlPr>
            </control>
          </mc:Choice>
        </mc:AlternateContent>
        <mc:AlternateContent xmlns:mc="http://schemas.openxmlformats.org/markup-compatibility/2006">
          <mc:Choice Requires="x14">
            <control shapeId="4101" r:id="rId9" name="Check Box 5">
              <controlPr defaultSize="0" autoFill="0" autoLine="0" autoPict="0" macro="[0]!SlicerConnection">
                <anchor moveWithCells="1">
                  <from>
                    <xdr:col>0</xdr:col>
                    <xdr:colOff>228600</xdr:colOff>
                    <xdr:row>1</xdr:row>
                    <xdr:rowOff>289560</xdr:rowOff>
                  </from>
                  <to>
                    <xdr:col>1</xdr:col>
                    <xdr:colOff>175260</xdr:colOff>
                    <xdr:row>1</xdr:row>
                    <xdr:rowOff>518160</xdr:rowOff>
                  </to>
                </anchor>
              </controlPr>
            </control>
          </mc:Choice>
        </mc:AlternateContent>
        <mc:AlternateContent xmlns:mc="http://schemas.openxmlformats.org/markup-compatibility/2006">
          <mc:Choice Requires="x14">
            <control shapeId="4098" r:id="rId10" name="Check Box 2">
              <controlPr defaultSize="0" autoFill="0" autoLine="0" autoPict="0" macro="[0]!SlicerConnection">
                <anchor moveWithCells="1">
                  <from>
                    <xdr:col>6</xdr:col>
                    <xdr:colOff>243840</xdr:colOff>
                    <xdr:row>1</xdr:row>
                    <xdr:rowOff>289560</xdr:rowOff>
                  </from>
                  <to>
                    <xdr:col>7</xdr:col>
                    <xdr:colOff>60960</xdr:colOff>
                    <xdr:row>1</xdr:row>
                    <xdr:rowOff>510540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Raw Data</vt:lpstr>
      <vt:lpstr>Sheet2</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TECHNEZO</dc:creator>
  <cp:lastModifiedBy>TECHNEZO</cp:lastModifiedBy>
  <dcterms:created xsi:type="dcterms:W3CDTF">2025-01-17T19:59:00Z</dcterms:created>
  <dcterms:modified xsi:type="dcterms:W3CDTF">2025-01-18T21:30:21Z</dcterms:modified>
</cp:coreProperties>
</file>